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XELLO\Gym\Macros y Excel\"/>
    </mc:Choice>
  </mc:AlternateContent>
  <xr:revisionPtr revIDLastSave="0" documentId="13_ncr:1_{F8F45B4D-CD35-48DC-95CF-899AA4CD1A3A}" xr6:coauthVersionLast="47" xr6:coauthVersionMax="47" xr10:uidLastSave="{00000000-0000-0000-0000-000000000000}"/>
  <bookViews>
    <workbookView xWindow="-108" yWindow="-108" windowWidth="22080" windowHeight="13176" tabRatio="920" activeTab="6" xr2:uid="{00000000-000D-0000-FFFF-FFFF00000000}"/>
  </bookViews>
  <sheets>
    <sheet name="Macro" sheetId="2" r:id="rId1"/>
    <sheet name="Seguimientos Comidas Sergio" sheetId="7" r:id="rId2"/>
    <sheet name="Comidas individuales" sheetId="3" r:id="rId3"/>
    <sheet name="Precio por alimento" sheetId="5" r:id="rId4"/>
    <sheet name="Menú" sheetId="4" r:id="rId5"/>
    <sheet name="Tabla Dinámica" sheetId="8" r:id="rId6"/>
    <sheet name="Optimizar" sheetId="9" r:id="rId7"/>
    <sheet name="Plan Comidas" sheetId="12" r:id="rId8"/>
    <sheet name="Recetas" sheetId="13" r:id="rId9"/>
    <sheet name="Posibles comidas" sheetId="10" r:id="rId10"/>
  </sheets>
  <definedNames>
    <definedName name="_xlnm._FilterDatabase" localSheetId="2" hidden="1">'Comidas individuales'!$A$1:$R$51</definedName>
    <definedName name="_xlnm._FilterDatabase" localSheetId="6" hidden="1">Optimizar!$B$1:$I$26</definedName>
    <definedName name="solver_adj" localSheetId="6" hidden="1">Optimizar!$B$2:$B$21</definedName>
    <definedName name="solver_cvg" localSheetId="6" hidden="1">0.0001</definedName>
    <definedName name="solver_drv" localSheetId="6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0" localSheetId="6" hidden="1">Optimizar!$B$9</definedName>
    <definedName name="solver_lhs1" localSheetId="6" hidden="1">Optimizar!$B$9</definedName>
    <definedName name="solver_lhs10" localSheetId="6" hidden="1">Optimizar!$B$5</definedName>
    <definedName name="solver_lhs11" localSheetId="6" hidden="1">Optimizar!$B$4</definedName>
    <definedName name="solver_lhs12" localSheetId="6" hidden="1">Optimizar!$B$7</definedName>
    <definedName name="solver_lhs13" localSheetId="6" hidden="1">Optimizar!$B$20</definedName>
    <definedName name="solver_lhs14" localSheetId="6" hidden="1">Optimizar!$B$6</definedName>
    <definedName name="solver_lhs15" localSheetId="6" hidden="1">Optimizar!$B$21</definedName>
    <definedName name="solver_lhs16" localSheetId="6" hidden="1">Optimizar!$B$3</definedName>
    <definedName name="solver_lhs17" localSheetId="6" hidden="1">Optimizar!$B$2</definedName>
    <definedName name="solver_lhs18" localSheetId="6" hidden="1">Optimizar!$B$18</definedName>
    <definedName name="solver_lhs19" localSheetId="6" hidden="1">Optimizar!$B$17</definedName>
    <definedName name="solver_lhs2" localSheetId="6" hidden="1">Optimizar!$G$26</definedName>
    <definedName name="solver_lhs20" localSheetId="6" hidden="1">Optimizar!$B$16</definedName>
    <definedName name="solver_lhs21" localSheetId="6" hidden="1">Optimizar!$B$11</definedName>
    <definedName name="solver_lhs22" localSheetId="6" hidden="1">Optimizar!$B$19</definedName>
    <definedName name="solver_lhs23" localSheetId="6" hidden="1">Optimizar!$B$17</definedName>
    <definedName name="solver_lhs24" localSheetId="6" hidden="1">Optimizar!$B$13</definedName>
    <definedName name="solver_lhs25" localSheetId="6" hidden="1">Optimizar!$B$12</definedName>
    <definedName name="solver_lhs26" localSheetId="6" hidden="1">Optimizar!$B$14</definedName>
    <definedName name="solver_lhs27" localSheetId="6" hidden="1">Optimizar!$B$9</definedName>
    <definedName name="solver_lhs28" localSheetId="6" hidden="1">Optimizar!$D$26</definedName>
    <definedName name="solver_lhs29" localSheetId="6" hidden="1">Optimizar!$D$26</definedName>
    <definedName name="solver_lhs3" localSheetId="6" hidden="1">Optimizar!$B$8</definedName>
    <definedName name="solver_lhs30" localSheetId="6" hidden="1">Optimizar!$G$26</definedName>
    <definedName name="solver_lhs31" localSheetId="6" hidden="1">Optimizar!$G$26</definedName>
    <definedName name="solver_lhs4" localSheetId="6" hidden="1">Optimizar!$B$13</definedName>
    <definedName name="solver_lhs5" localSheetId="6" hidden="1">Optimizar!$D$26</definedName>
    <definedName name="solver_lhs6" localSheetId="6" hidden="1">Optimizar!$D$26</definedName>
    <definedName name="solver_lhs7" localSheetId="6" hidden="1">Optimizar!$B$15</definedName>
    <definedName name="solver_lhs8" localSheetId="6" hidden="1">Optimizar!$B$10</definedName>
    <definedName name="solver_lhs9" localSheetId="6" hidden="1">Optimizar!$B$10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26</definedName>
    <definedName name="solver_nwt" localSheetId="6" hidden="1">1</definedName>
    <definedName name="solver_opt" localSheetId="6" hidden="1">Optimizar!$C$26</definedName>
    <definedName name="solver_pre" localSheetId="6" hidden="1">0.000001</definedName>
    <definedName name="solver_rbv" localSheetId="6" hidden="1">1</definedName>
    <definedName name="solver_rel0" localSheetId="6" hidden="1">2</definedName>
    <definedName name="solver_rel1" localSheetId="6" hidden="1">2</definedName>
    <definedName name="solver_rel10" localSheetId="6" hidden="1">1</definedName>
    <definedName name="solver_rel11" localSheetId="6" hidden="1">2</definedName>
    <definedName name="solver_rel12" localSheetId="6" hidden="1">1</definedName>
    <definedName name="solver_rel13" localSheetId="6" hidden="1">1</definedName>
    <definedName name="solver_rel14" localSheetId="6" hidden="1">1</definedName>
    <definedName name="solver_rel15" localSheetId="6" hidden="1">1</definedName>
    <definedName name="solver_rel16" localSheetId="6" hidden="1">2</definedName>
    <definedName name="solver_rel17" localSheetId="6" hidden="1">2</definedName>
    <definedName name="solver_rel18" localSheetId="6" hidden="1">1</definedName>
    <definedName name="solver_rel19" localSheetId="6" hidden="1">3</definedName>
    <definedName name="solver_rel2" localSheetId="6" hidden="1">3</definedName>
    <definedName name="solver_rel20" localSheetId="6" hidden="1">1</definedName>
    <definedName name="solver_rel21" localSheetId="6" hidden="1">1</definedName>
    <definedName name="solver_rel22" localSheetId="6" hidden="1">2</definedName>
    <definedName name="solver_rel23" localSheetId="6" hidden="1">1</definedName>
    <definedName name="solver_rel24" localSheetId="6" hidden="1">3</definedName>
    <definedName name="solver_rel25" localSheetId="6" hidden="1">2</definedName>
    <definedName name="solver_rel26" localSheetId="6" hidden="1">1</definedName>
    <definedName name="solver_rel27" localSheetId="6" hidden="1">2</definedName>
    <definedName name="solver_rel28" localSheetId="6" hidden="1">1</definedName>
    <definedName name="solver_rel29" localSheetId="6" hidden="1">3</definedName>
    <definedName name="solver_rel3" localSheetId="6" hidden="1">1</definedName>
    <definedName name="solver_rel30" localSheetId="6" hidden="1">3</definedName>
    <definedName name="solver_rel31" localSheetId="6" hidden="1">3</definedName>
    <definedName name="solver_rel4" localSheetId="6" hidden="1">1</definedName>
    <definedName name="solver_rel5" localSheetId="6" hidden="1">3</definedName>
    <definedName name="solver_rel6" localSheetId="6" hidden="1">1</definedName>
    <definedName name="solver_rel7" localSheetId="6" hidden="1">2</definedName>
    <definedName name="solver_rel8" localSheetId="6" hidden="1">3</definedName>
    <definedName name="solver_rel9" localSheetId="6" hidden="1">1</definedName>
    <definedName name="solver_rhs0" localSheetId="6" hidden="1">0</definedName>
    <definedName name="solver_rhs1" localSheetId="6" hidden="1">100</definedName>
    <definedName name="solver_rhs10" localSheetId="6" hidden="1">200</definedName>
    <definedName name="solver_rhs11" localSheetId="6" hidden="1">200</definedName>
    <definedName name="solver_rhs12" localSheetId="6" hidden="1">250</definedName>
    <definedName name="solver_rhs13" localSheetId="6" hidden="1">50</definedName>
    <definedName name="solver_rhs14" localSheetId="6" hidden="1">45</definedName>
    <definedName name="solver_rhs15" localSheetId="6" hidden="1">30</definedName>
    <definedName name="solver_rhs16" localSheetId="6" hidden="1">300</definedName>
    <definedName name="solver_rhs17" localSheetId="6" hidden="1">200</definedName>
    <definedName name="solver_rhs18" localSheetId="6" hidden="1">10</definedName>
    <definedName name="solver_rhs19" localSheetId="6" hidden="1">15</definedName>
    <definedName name="solver_rhs2" localSheetId="6" hidden="1">93</definedName>
    <definedName name="solver_rhs20" localSheetId="6" hidden="1">40</definedName>
    <definedName name="solver_rhs21" localSheetId="6" hidden="1">100</definedName>
    <definedName name="solver_rhs22" localSheetId="6" hidden="1">6.5</definedName>
    <definedName name="solver_rhs23" localSheetId="6" hidden="1">30</definedName>
    <definedName name="solver_rhs24" localSheetId="6" hidden="1">36</definedName>
    <definedName name="solver_rhs25" localSheetId="6" hidden="1">120</definedName>
    <definedName name="solver_rhs26" localSheetId="6" hidden="1">50</definedName>
    <definedName name="solver_rhs27" localSheetId="6" hidden="1">0</definedName>
    <definedName name="solver_rhs28" localSheetId="6" hidden="1">1350</definedName>
    <definedName name="solver_rhs29" localSheetId="6" hidden="1">1200</definedName>
    <definedName name="solver_rhs3" localSheetId="6" hidden="1">50</definedName>
    <definedName name="solver_rhs30" localSheetId="6" hidden="1">93</definedName>
    <definedName name="solver_rhs31" localSheetId="6" hidden="1">115</definedName>
    <definedName name="solver_rhs4" localSheetId="6" hidden="1">54</definedName>
    <definedName name="solver_rhs5" localSheetId="6" hidden="1">1250</definedName>
    <definedName name="solver_rhs6" localSheetId="6" hidden="1">1350</definedName>
    <definedName name="solver_rhs7" localSheetId="6" hidden="1">32</definedName>
    <definedName name="solver_rhs8" localSheetId="6" hidden="1">80</definedName>
    <definedName name="solver_rhs9" localSheetId="6" hidden="1">160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6" i="9" l="1"/>
  <c r="O26" i="9"/>
  <c r="P26" i="9"/>
  <c r="Q26" i="9"/>
  <c r="R26" i="9"/>
  <c r="S26" i="9"/>
  <c r="H57" i="5"/>
  <c r="H56" i="5"/>
  <c r="H55" i="5"/>
  <c r="C17" i="9" s="1"/>
  <c r="H54" i="5"/>
  <c r="C44" i="9" s="1"/>
  <c r="H53" i="5"/>
  <c r="C21" i="9" s="1"/>
  <c r="H52" i="5"/>
  <c r="M52" i="9" s="1"/>
  <c r="H51" i="5"/>
  <c r="M13" i="2"/>
  <c r="M12" i="2"/>
  <c r="H50" i="5"/>
  <c r="C5" i="9" s="1"/>
  <c r="G53" i="3"/>
  <c r="N53" i="3" s="1"/>
  <c r="F5" i="9" s="1"/>
  <c r="L53" i="3"/>
  <c r="D5" i="9" s="1"/>
  <c r="M53" i="3"/>
  <c r="E5" i="9" s="1"/>
  <c r="O53" i="3"/>
  <c r="G5" i="9" s="1"/>
  <c r="P53" i="3"/>
  <c r="H5" i="9" s="1"/>
  <c r="Q53" i="3"/>
  <c r="I5" i="9" s="1"/>
  <c r="R53" i="3"/>
  <c r="H49" i="5"/>
  <c r="C8" i="9" s="1"/>
  <c r="H48" i="5"/>
  <c r="M62" i="9" s="1"/>
  <c r="H47" i="5"/>
  <c r="M2" i="2" s="1"/>
  <c r="H46" i="5"/>
  <c r="C19" i="9" s="1"/>
  <c r="H45" i="5"/>
  <c r="M5" i="2" s="1"/>
  <c r="H44" i="5"/>
  <c r="C32" i="9" s="1"/>
  <c r="G5" i="3"/>
  <c r="N5" i="3" s="1"/>
  <c r="F10" i="9" s="1"/>
  <c r="L5" i="3"/>
  <c r="D10" i="9" s="1"/>
  <c r="M5" i="3"/>
  <c r="E10" i="9" s="1"/>
  <c r="O5" i="3"/>
  <c r="G10" i="9" s="1"/>
  <c r="P5" i="3"/>
  <c r="H10" i="9" s="1"/>
  <c r="Q5" i="3"/>
  <c r="I10" i="9" s="1"/>
  <c r="R5" i="3"/>
  <c r="G9" i="3"/>
  <c r="N9" i="3" s="1"/>
  <c r="L9" i="3"/>
  <c r="M9" i="3"/>
  <c r="O9" i="3"/>
  <c r="P9" i="3"/>
  <c r="Q9" i="3"/>
  <c r="R9" i="3"/>
  <c r="G30" i="3"/>
  <c r="N30" i="3" s="1"/>
  <c r="F13" i="9" s="1"/>
  <c r="L30" i="3"/>
  <c r="D13" i="9" s="1"/>
  <c r="M30" i="3"/>
  <c r="E13" i="9" s="1"/>
  <c r="O30" i="3"/>
  <c r="G13" i="9" s="1"/>
  <c r="P30" i="3"/>
  <c r="H13" i="9" s="1"/>
  <c r="Q30" i="3"/>
  <c r="I13" i="9" s="1"/>
  <c r="R30" i="3"/>
  <c r="C13" i="9" l="1"/>
  <c r="C9" i="9"/>
  <c r="C33" i="9"/>
  <c r="C14" i="9"/>
  <c r="E52" i="9"/>
  <c r="F32" i="9"/>
  <c r="C15" i="9"/>
  <c r="H32" i="9"/>
  <c r="D32" i="9"/>
  <c r="C41" i="9"/>
  <c r="C52" i="9"/>
  <c r="G52" i="9"/>
  <c r="C60" i="9"/>
  <c r="M30" i="9"/>
  <c r="Q32" i="9"/>
  <c r="M32" i="9"/>
  <c r="M41" i="9"/>
  <c r="M42" i="9"/>
  <c r="R62" i="9"/>
  <c r="N62" i="9"/>
  <c r="G65" i="9"/>
  <c r="C65" i="9"/>
  <c r="M9" i="2"/>
  <c r="M4" i="2"/>
  <c r="C10" i="9"/>
  <c r="C30" i="9"/>
  <c r="G32" i="9"/>
  <c r="C42" i="9"/>
  <c r="D52" i="9"/>
  <c r="H52" i="9"/>
  <c r="M33" i="9"/>
  <c r="P32" i="9"/>
  <c r="M60" i="9"/>
  <c r="Q62" i="9"/>
  <c r="F65" i="9"/>
  <c r="I52" i="9"/>
  <c r="S32" i="9"/>
  <c r="O32" i="9"/>
  <c r="P62" i="9"/>
  <c r="I65" i="9"/>
  <c r="E65" i="9"/>
  <c r="C2" i="9"/>
  <c r="I32" i="9"/>
  <c r="E32" i="9"/>
  <c r="F52" i="9"/>
  <c r="C53" i="9"/>
  <c r="R32" i="9"/>
  <c r="N32" i="9"/>
  <c r="S62" i="9"/>
  <c r="O62" i="9"/>
  <c r="H65" i="9"/>
  <c r="D65" i="9"/>
  <c r="G46" i="3"/>
  <c r="N46" i="3" s="1"/>
  <c r="L46" i="3"/>
  <c r="M46" i="3"/>
  <c r="O46" i="3"/>
  <c r="P46" i="3"/>
  <c r="Q46" i="3"/>
  <c r="R46" i="3"/>
  <c r="G11" i="3"/>
  <c r="N11" i="3" s="1"/>
  <c r="F19" i="9" s="1"/>
  <c r="L11" i="3"/>
  <c r="D19" i="9" s="1"/>
  <c r="M11" i="3"/>
  <c r="E19" i="9" s="1"/>
  <c r="O11" i="3"/>
  <c r="G19" i="9" s="1"/>
  <c r="P11" i="3"/>
  <c r="H19" i="9" s="1"/>
  <c r="Q11" i="3"/>
  <c r="I19" i="9" s="1"/>
  <c r="R11" i="3"/>
  <c r="G55" i="3"/>
  <c r="N55" i="3" s="1"/>
  <c r="L55" i="3"/>
  <c r="M55" i="3"/>
  <c r="O55" i="3"/>
  <c r="P55" i="3"/>
  <c r="Q55" i="3"/>
  <c r="R55" i="3"/>
  <c r="G67" i="3"/>
  <c r="N67" i="3" s="1"/>
  <c r="L67" i="3"/>
  <c r="M67" i="3"/>
  <c r="O67" i="3"/>
  <c r="P67" i="3"/>
  <c r="Q67" i="3"/>
  <c r="R67" i="3"/>
  <c r="G26" i="3"/>
  <c r="N26" i="3" s="1"/>
  <c r="L26" i="3"/>
  <c r="M26" i="3"/>
  <c r="O26" i="3"/>
  <c r="P26" i="3"/>
  <c r="Q26" i="3"/>
  <c r="R26" i="3"/>
  <c r="G66" i="3"/>
  <c r="N66" i="3" s="1"/>
  <c r="L66" i="3"/>
  <c r="M66" i="3"/>
  <c r="O66" i="3"/>
  <c r="P66" i="3"/>
  <c r="Q66" i="3"/>
  <c r="R66" i="3"/>
  <c r="G47" i="3"/>
  <c r="N47" i="3" s="1"/>
  <c r="L47" i="3"/>
  <c r="M47" i="3"/>
  <c r="O47" i="3"/>
  <c r="P47" i="3"/>
  <c r="Q47" i="3"/>
  <c r="R47" i="3"/>
  <c r="G17" i="3"/>
  <c r="N17" i="3" s="1"/>
  <c r="F24" i="9" s="1"/>
  <c r="L17" i="3"/>
  <c r="D24" i="9" s="1"/>
  <c r="M17" i="3"/>
  <c r="E24" i="9" s="1"/>
  <c r="O17" i="3"/>
  <c r="G24" i="9" s="1"/>
  <c r="P17" i="3"/>
  <c r="H24" i="9" s="1"/>
  <c r="Q17" i="3"/>
  <c r="I24" i="9" s="1"/>
  <c r="R17" i="3"/>
  <c r="E6" i="9" l="1"/>
  <c r="O59" i="9"/>
  <c r="E62" i="9"/>
  <c r="I6" i="9"/>
  <c r="S59" i="9"/>
  <c r="I62" i="9"/>
  <c r="D6" i="9"/>
  <c r="N59" i="9"/>
  <c r="D62" i="9"/>
  <c r="G6" i="9"/>
  <c r="Q59" i="9"/>
  <c r="G62" i="9"/>
  <c r="H6" i="9"/>
  <c r="R59" i="9"/>
  <c r="H62" i="9"/>
  <c r="F6" i="9"/>
  <c r="F62" i="9"/>
  <c r="P59" i="9"/>
  <c r="G65" i="3"/>
  <c r="N65" i="3" s="1"/>
  <c r="L65" i="3"/>
  <c r="M65" i="3"/>
  <c r="O65" i="3"/>
  <c r="P65" i="3"/>
  <c r="Q65" i="3"/>
  <c r="R65" i="3"/>
  <c r="G58" i="3"/>
  <c r="N58" i="3" s="1"/>
  <c r="L58" i="3"/>
  <c r="M58" i="3"/>
  <c r="O58" i="3"/>
  <c r="P58" i="3"/>
  <c r="Q58" i="3"/>
  <c r="R58" i="3"/>
  <c r="G52" i="3"/>
  <c r="N52" i="3" s="1"/>
  <c r="L52" i="3"/>
  <c r="M52" i="3"/>
  <c r="O52" i="3"/>
  <c r="P52" i="3"/>
  <c r="Q52" i="3"/>
  <c r="R52" i="3"/>
  <c r="G16" i="3"/>
  <c r="N16" i="3" s="1"/>
  <c r="L16" i="3"/>
  <c r="M16" i="3"/>
  <c r="O16" i="3"/>
  <c r="P16" i="3"/>
  <c r="Q16" i="3"/>
  <c r="R16" i="3"/>
  <c r="G31" i="3"/>
  <c r="N31" i="3" s="1"/>
  <c r="L31" i="3"/>
  <c r="M31" i="3"/>
  <c r="O31" i="3"/>
  <c r="P31" i="3"/>
  <c r="Q31" i="3"/>
  <c r="R31" i="3"/>
  <c r="G60" i="3"/>
  <c r="N60" i="3" s="1"/>
  <c r="L60" i="3"/>
  <c r="M60" i="3"/>
  <c r="O60" i="3"/>
  <c r="P60" i="3"/>
  <c r="Q60" i="3"/>
  <c r="R60" i="3"/>
  <c r="G32" i="3"/>
  <c r="N32" i="3" s="1"/>
  <c r="L32" i="3"/>
  <c r="M32" i="3"/>
  <c r="O32" i="3"/>
  <c r="P32" i="3"/>
  <c r="Q32" i="3"/>
  <c r="R32" i="3"/>
  <c r="G42" i="3"/>
  <c r="N42" i="3" s="1"/>
  <c r="L42" i="3"/>
  <c r="M42" i="3"/>
  <c r="O42" i="3"/>
  <c r="P42" i="3"/>
  <c r="Q42" i="3"/>
  <c r="R42" i="3"/>
  <c r="G25" i="3"/>
  <c r="N25" i="3" s="1"/>
  <c r="F15" i="9" s="1"/>
  <c r="L25" i="3"/>
  <c r="D15" i="9" s="1"/>
  <c r="M25" i="3"/>
  <c r="E15" i="9" s="1"/>
  <c r="O25" i="3"/>
  <c r="G15" i="9" s="1"/>
  <c r="P25" i="3"/>
  <c r="H15" i="9" s="1"/>
  <c r="Q25" i="3"/>
  <c r="I15" i="9" s="1"/>
  <c r="R25" i="3"/>
  <c r="H37" i="5"/>
  <c r="H33" i="5"/>
  <c r="H32" i="5"/>
  <c r="M11" i="2" s="1"/>
  <c r="H16" i="5"/>
  <c r="H18" i="5"/>
  <c r="H35" i="5"/>
  <c r="H38" i="5"/>
  <c r="H9" i="5"/>
  <c r="H8" i="5"/>
  <c r="C18" i="9" s="1"/>
  <c r="H43" i="5"/>
  <c r="M7" i="2" s="1"/>
  <c r="H21" i="5"/>
  <c r="H10" i="5"/>
  <c r="H20" i="5"/>
  <c r="H28" i="5"/>
  <c r="H12" i="5"/>
  <c r="H13" i="5"/>
  <c r="H31" i="5"/>
  <c r="H26" i="5"/>
  <c r="H6" i="5"/>
  <c r="H34" i="5"/>
  <c r="H42" i="5"/>
  <c r="M8" i="2" s="1"/>
  <c r="H19" i="5"/>
  <c r="C20" i="9" s="1"/>
  <c r="H25" i="5"/>
  <c r="H7" i="5"/>
  <c r="H41" i="5"/>
  <c r="H36" i="5"/>
  <c r="H15" i="5"/>
  <c r="H29" i="5"/>
  <c r="H4" i="5"/>
  <c r="C11" i="9" s="1"/>
  <c r="H17" i="5"/>
  <c r="H30" i="5"/>
  <c r="H39" i="5"/>
  <c r="C16" i="9" s="1"/>
  <c r="H3" i="5"/>
  <c r="H14" i="5"/>
  <c r="M10" i="2" s="1"/>
  <c r="H40" i="5"/>
  <c r="H22" i="5"/>
  <c r="H5" i="5"/>
  <c r="H23" i="5"/>
  <c r="H11" i="5"/>
  <c r="H24" i="5"/>
  <c r="H2" i="5"/>
  <c r="C25" i="9" s="1"/>
  <c r="H27" i="5"/>
  <c r="C40" i="9" l="1"/>
  <c r="C7" i="9"/>
  <c r="M63" i="9"/>
  <c r="C64" i="9"/>
  <c r="C22" i="9"/>
  <c r="E14" i="9"/>
  <c r="E44" i="9"/>
  <c r="H3" i="9"/>
  <c r="H54" i="9"/>
  <c r="H63" i="9"/>
  <c r="H31" i="9"/>
  <c r="R61" i="9"/>
  <c r="R31" i="9"/>
  <c r="R53" i="9"/>
  <c r="I14" i="9"/>
  <c r="I44" i="9"/>
  <c r="D14" i="9"/>
  <c r="D44" i="9"/>
  <c r="M6" i="2"/>
  <c r="M39" i="9"/>
  <c r="C61" i="9"/>
  <c r="C39" i="9"/>
  <c r="C4" i="9"/>
  <c r="H14" i="9"/>
  <c r="H44" i="9"/>
  <c r="F14" i="9"/>
  <c r="F44" i="9"/>
  <c r="M59" i="9"/>
  <c r="C62" i="9"/>
  <c r="C6" i="9"/>
  <c r="C63" i="9"/>
  <c r="C31" i="9"/>
  <c r="C3" i="9"/>
  <c r="M61" i="9"/>
  <c r="M31" i="9"/>
  <c r="M53" i="9"/>
  <c r="C54" i="9"/>
  <c r="M3" i="2"/>
  <c r="M40" i="9"/>
  <c r="C12" i="9"/>
  <c r="C43" i="9"/>
  <c r="G14" i="9"/>
  <c r="G44" i="9"/>
  <c r="S61" i="9"/>
  <c r="I54" i="9"/>
  <c r="I63" i="9"/>
  <c r="S53" i="9"/>
  <c r="S31" i="9"/>
  <c r="I31" i="9"/>
  <c r="G3" i="9"/>
  <c r="Q61" i="9"/>
  <c r="Q31" i="9"/>
  <c r="G54" i="9"/>
  <c r="G63" i="9"/>
  <c r="Q53" i="9"/>
  <c r="G31" i="9"/>
  <c r="F54" i="9"/>
  <c r="F31" i="9"/>
  <c r="F63" i="9"/>
  <c r="P61" i="9"/>
  <c r="P53" i="9"/>
  <c r="P31" i="9"/>
  <c r="E54" i="9"/>
  <c r="E63" i="9"/>
  <c r="E31" i="9"/>
  <c r="O61" i="9"/>
  <c r="O31" i="9"/>
  <c r="O53" i="9"/>
  <c r="D54" i="9"/>
  <c r="D63" i="9"/>
  <c r="N53" i="9"/>
  <c r="N31" i="9"/>
  <c r="D31" i="9"/>
  <c r="N61" i="9"/>
  <c r="I3" i="9"/>
  <c r="F3" i="9"/>
  <c r="E3" i="9"/>
  <c r="D3" i="9"/>
  <c r="R2" i="3"/>
  <c r="Q2" i="3"/>
  <c r="P2" i="3"/>
  <c r="O2" i="3"/>
  <c r="M2" i="3"/>
  <c r="L2" i="3"/>
  <c r="G2" i="3"/>
  <c r="N2" i="3" s="1"/>
  <c r="R20" i="3"/>
  <c r="Q20" i="3"/>
  <c r="P20" i="3"/>
  <c r="H18" i="9" s="1"/>
  <c r="O20" i="3"/>
  <c r="M20" i="3"/>
  <c r="L20" i="3"/>
  <c r="D18" i="9" s="1"/>
  <c r="G20" i="3"/>
  <c r="N20" i="3" s="1"/>
  <c r="F18" i="9" s="1"/>
  <c r="R22" i="3"/>
  <c r="Q22" i="3"/>
  <c r="P22" i="3"/>
  <c r="O22" i="3"/>
  <c r="M22" i="3"/>
  <c r="L22" i="3"/>
  <c r="G22" i="3"/>
  <c r="N22" i="3" s="1"/>
  <c r="R24" i="3"/>
  <c r="Q24" i="3"/>
  <c r="P24" i="3"/>
  <c r="O24" i="3"/>
  <c r="M24" i="3"/>
  <c r="L24" i="3"/>
  <c r="G24" i="3"/>
  <c r="N24" i="3" s="1"/>
  <c r="R36" i="3"/>
  <c r="Q36" i="3"/>
  <c r="P36" i="3"/>
  <c r="O36" i="3"/>
  <c r="M36" i="3"/>
  <c r="L36" i="3"/>
  <c r="G36" i="3"/>
  <c r="N36" i="3" s="1"/>
  <c r="R68" i="3"/>
  <c r="Q68" i="3"/>
  <c r="I9" i="9" s="1"/>
  <c r="P68" i="3"/>
  <c r="H9" i="9" s="1"/>
  <c r="O68" i="3"/>
  <c r="G9" i="9" s="1"/>
  <c r="M68" i="3"/>
  <c r="E9" i="9" s="1"/>
  <c r="L68" i="3"/>
  <c r="D9" i="9" s="1"/>
  <c r="G68" i="3"/>
  <c r="N68" i="3" s="1"/>
  <c r="F9" i="9" s="1"/>
  <c r="R49" i="3"/>
  <c r="Q49" i="3"/>
  <c r="P49" i="3"/>
  <c r="O49" i="3"/>
  <c r="M49" i="3"/>
  <c r="L49" i="3"/>
  <c r="G49" i="3"/>
  <c r="N49" i="3" s="1"/>
  <c r="R12" i="3"/>
  <c r="Q12" i="3"/>
  <c r="P12" i="3"/>
  <c r="O12" i="3"/>
  <c r="M12" i="3"/>
  <c r="L12" i="3"/>
  <c r="G12" i="3"/>
  <c r="N12" i="3" s="1"/>
  <c r="R57" i="3"/>
  <c r="Q57" i="3"/>
  <c r="P57" i="3"/>
  <c r="O57" i="3"/>
  <c r="M57" i="3"/>
  <c r="L57" i="3"/>
  <c r="G57" i="3"/>
  <c r="N57" i="3" s="1"/>
  <c r="R15" i="3"/>
  <c r="Q15" i="3"/>
  <c r="P15" i="3"/>
  <c r="O15" i="3"/>
  <c r="M15" i="3"/>
  <c r="L15" i="3"/>
  <c r="G15" i="3"/>
  <c r="N15" i="3" s="1"/>
  <c r="R64" i="3"/>
  <c r="Q64" i="3"/>
  <c r="P64" i="3"/>
  <c r="O64" i="3"/>
  <c r="M64" i="3"/>
  <c r="L64" i="3"/>
  <c r="G64" i="3"/>
  <c r="N64" i="3" s="1"/>
  <c r="R43" i="3"/>
  <c r="Q43" i="3"/>
  <c r="P43" i="3"/>
  <c r="O43" i="3"/>
  <c r="M43" i="3"/>
  <c r="L43" i="3"/>
  <c r="G43" i="3"/>
  <c r="N43" i="3" s="1"/>
  <c r="R41" i="3"/>
  <c r="Q41" i="3"/>
  <c r="I21" i="9" s="1"/>
  <c r="P41" i="3"/>
  <c r="H21" i="9" s="1"/>
  <c r="O41" i="3"/>
  <c r="G21" i="9" s="1"/>
  <c r="M41" i="3"/>
  <c r="E21" i="9" s="1"/>
  <c r="L41" i="3"/>
  <c r="D21" i="9" s="1"/>
  <c r="G41" i="3"/>
  <c r="N41" i="3" s="1"/>
  <c r="F21" i="9" s="1"/>
  <c r="R18" i="3"/>
  <c r="Q18" i="3"/>
  <c r="P18" i="3"/>
  <c r="O18" i="3"/>
  <c r="M18" i="3"/>
  <c r="L18" i="3"/>
  <c r="G18" i="3"/>
  <c r="N18" i="3" s="1"/>
  <c r="R8" i="3"/>
  <c r="Q8" i="3"/>
  <c r="I11" i="9" s="1"/>
  <c r="P8" i="3"/>
  <c r="H11" i="9" s="1"/>
  <c r="O8" i="3"/>
  <c r="G11" i="9" s="1"/>
  <c r="M8" i="3"/>
  <c r="E11" i="9" s="1"/>
  <c r="L8" i="3"/>
  <c r="D11" i="9" s="1"/>
  <c r="G8" i="3"/>
  <c r="N8" i="3" s="1"/>
  <c r="F11" i="9" s="1"/>
  <c r="R62" i="3"/>
  <c r="Q62" i="3"/>
  <c r="P62" i="3"/>
  <c r="O62" i="3"/>
  <c r="M62" i="3"/>
  <c r="L62" i="3"/>
  <c r="G62" i="3"/>
  <c r="N62" i="3" s="1"/>
  <c r="R3" i="3"/>
  <c r="Q3" i="3"/>
  <c r="P3" i="3"/>
  <c r="O3" i="3"/>
  <c r="M3" i="3"/>
  <c r="L3" i="3"/>
  <c r="G3" i="3"/>
  <c r="N3" i="3" s="1"/>
  <c r="R33" i="3"/>
  <c r="Q33" i="3"/>
  <c r="P33" i="3"/>
  <c r="O33" i="3"/>
  <c r="M33" i="3"/>
  <c r="L33" i="3"/>
  <c r="G33" i="3"/>
  <c r="N33" i="3" s="1"/>
  <c r="R13" i="3"/>
  <c r="Q13" i="3"/>
  <c r="P13" i="3"/>
  <c r="O13" i="3"/>
  <c r="M13" i="3"/>
  <c r="L13" i="3"/>
  <c r="G13" i="3"/>
  <c r="N13" i="3" s="1"/>
  <c r="R40" i="3"/>
  <c r="Q40" i="3"/>
  <c r="P40" i="3"/>
  <c r="O40" i="3"/>
  <c r="M40" i="3"/>
  <c r="L40" i="3"/>
  <c r="G40" i="3"/>
  <c r="N40" i="3" s="1"/>
  <c r="R59" i="3"/>
  <c r="Q59" i="3"/>
  <c r="P59" i="3"/>
  <c r="O59" i="3"/>
  <c r="M59" i="3"/>
  <c r="L59" i="3"/>
  <c r="G59" i="3"/>
  <c r="N59" i="3" s="1"/>
  <c r="R54" i="3"/>
  <c r="Q54" i="3"/>
  <c r="P54" i="3"/>
  <c r="O54" i="3"/>
  <c r="M54" i="3"/>
  <c r="L54" i="3"/>
  <c r="G54" i="3"/>
  <c r="N54" i="3" s="1"/>
  <c r="R56" i="3"/>
  <c r="Q56" i="3"/>
  <c r="P56" i="3"/>
  <c r="O56" i="3"/>
  <c r="M56" i="3"/>
  <c r="L56" i="3"/>
  <c r="G56" i="3"/>
  <c r="N56" i="3" s="1"/>
  <c r="R44" i="3"/>
  <c r="Q44" i="3"/>
  <c r="P44" i="3"/>
  <c r="O44" i="3"/>
  <c r="M44" i="3"/>
  <c r="L44" i="3"/>
  <c r="G44" i="3"/>
  <c r="N44" i="3" s="1"/>
  <c r="R7" i="3"/>
  <c r="Q7" i="3"/>
  <c r="P7" i="3"/>
  <c r="O7" i="3"/>
  <c r="M7" i="3"/>
  <c r="L7" i="3"/>
  <c r="G7" i="3"/>
  <c r="N7" i="3" s="1"/>
  <c r="R61" i="3"/>
  <c r="Q61" i="3"/>
  <c r="P61" i="3"/>
  <c r="H16" i="9" s="1"/>
  <c r="O61" i="3"/>
  <c r="M61" i="3"/>
  <c r="L61" i="3"/>
  <c r="G61" i="3"/>
  <c r="N61" i="3" s="1"/>
  <c r="F16" i="9" s="1"/>
  <c r="R28" i="3"/>
  <c r="Q28" i="3"/>
  <c r="P28" i="3"/>
  <c r="O28" i="3"/>
  <c r="M28" i="3"/>
  <c r="L28" i="3"/>
  <c r="G28" i="3"/>
  <c r="N28" i="3" s="1"/>
  <c r="R27" i="3"/>
  <c r="Q27" i="3"/>
  <c r="P27" i="3"/>
  <c r="O27" i="3"/>
  <c r="M27" i="3"/>
  <c r="L27" i="3"/>
  <c r="G27" i="3"/>
  <c r="N27" i="3" s="1"/>
  <c r="R37" i="3"/>
  <c r="Q37" i="3"/>
  <c r="P37" i="3"/>
  <c r="O37" i="3"/>
  <c r="M37" i="3"/>
  <c r="L37" i="3"/>
  <c r="G37" i="3"/>
  <c r="N37" i="3" s="1"/>
  <c r="R23" i="3"/>
  <c r="Q23" i="3"/>
  <c r="P23" i="3"/>
  <c r="O23" i="3"/>
  <c r="M23" i="3"/>
  <c r="L23" i="3"/>
  <c r="G23" i="3"/>
  <c r="N23" i="3" s="1"/>
  <c r="R34" i="3"/>
  <c r="Q34" i="3"/>
  <c r="P34" i="3"/>
  <c r="O34" i="3"/>
  <c r="M34" i="3"/>
  <c r="L34" i="3"/>
  <c r="G34" i="3"/>
  <c r="N34" i="3" s="1"/>
  <c r="R6" i="3"/>
  <c r="Q6" i="3"/>
  <c r="I40" i="9" s="1"/>
  <c r="P6" i="3"/>
  <c r="H40" i="9" s="1"/>
  <c r="O6" i="3"/>
  <c r="G40" i="9" s="1"/>
  <c r="M6" i="3"/>
  <c r="E40" i="9" s="1"/>
  <c r="L6" i="3"/>
  <c r="D40" i="9" s="1"/>
  <c r="G6" i="3"/>
  <c r="N6" i="3" s="1"/>
  <c r="F40" i="9" s="1"/>
  <c r="R35" i="3"/>
  <c r="Q35" i="3"/>
  <c r="I20" i="9" s="1"/>
  <c r="P35" i="3"/>
  <c r="O35" i="3"/>
  <c r="G20" i="9" s="1"/>
  <c r="M35" i="3"/>
  <c r="E20" i="9" s="1"/>
  <c r="L35" i="3"/>
  <c r="D20" i="9" s="1"/>
  <c r="G35" i="3"/>
  <c r="N35" i="3" s="1"/>
  <c r="R69" i="3"/>
  <c r="Q69" i="3"/>
  <c r="P69" i="3"/>
  <c r="O69" i="3"/>
  <c r="M69" i="3"/>
  <c r="L69" i="3"/>
  <c r="G69" i="3"/>
  <c r="N69" i="3" s="1"/>
  <c r="R70" i="3"/>
  <c r="Q70" i="3"/>
  <c r="P70" i="3"/>
  <c r="O70" i="3"/>
  <c r="M70" i="3"/>
  <c r="L70" i="3"/>
  <c r="G70" i="3"/>
  <c r="N70" i="3" s="1"/>
  <c r="R50" i="3"/>
  <c r="Q50" i="3"/>
  <c r="P50" i="3"/>
  <c r="O50" i="3"/>
  <c r="M50" i="3"/>
  <c r="L50" i="3"/>
  <c r="G50" i="3"/>
  <c r="N50" i="3" s="1"/>
  <c r="R45" i="3"/>
  <c r="Q45" i="3"/>
  <c r="P45" i="3"/>
  <c r="O45" i="3"/>
  <c r="M45" i="3"/>
  <c r="L45" i="3"/>
  <c r="G45" i="3"/>
  <c r="N45" i="3" s="1"/>
  <c r="R29" i="3"/>
  <c r="Q29" i="3"/>
  <c r="P29" i="3"/>
  <c r="O29" i="3"/>
  <c r="M29" i="3"/>
  <c r="L29" i="3"/>
  <c r="G29" i="3"/>
  <c r="N29" i="3" s="1"/>
  <c r="R48" i="3"/>
  <c r="Q48" i="3"/>
  <c r="P48" i="3"/>
  <c r="O48" i="3"/>
  <c r="M48" i="3"/>
  <c r="L48" i="3"/>
  <c r="G48" i="3"/>
  <c r="N48" i="3" s="1"/>
  <c r="R19" i="3"/>
  <c r="Q19" i="3"/>
  <c r="P19" i="3"/>
  <c r="O19" i="3"/>
  <c r="M19" i="3"/>
  <c r="L19" i="3"/>
  <c r="G19" i="3"/>
  <c r="N19" i="3" s="1"/>
  <c r="R14" i="3"/>
  <c r="Q14" i="3"/>
  <c r="I23" i="9" s="1"/>
  <c r="P14" i="3"/>
  <c r="O14" i="3"/>
  <c r="M14" i="3"/>
  <c r="E23" i="9" s="1"/>
  <c r="L14" i="3"/>
  <c r="D23" i="9" s="1"/>
  <c r="G14" i="3"/>
  <c r="N14" i="3" s="1"/>
  <c r="R4" i="3"/>
  <c r="Q4" i="3"/>
  <c r="P4" i="3"/>
  <c r="H25" i="9" s="1"/>
  <c r="O4" i="3"/>
  <c r="G25" i="9" s="1"/>
  <c r="M4" i="3"/>
  <c r="E25" i="9" s="1"/>
  <c r="L4" i="3"/>
  <c r="G4" i="3"/>
  <c r="N4" i="3" s="1"/>
  <c r="F25" i="9" s="1"/>
  <c r="R38" i="3"/>
  <c r="Q38" i="3"/>
  <c r="P38" i="3"/>
  <c r="O38" i="3"/>
  <c r="M38" i="3"/>
  <c r="L38" i="3"/>
  <c r="G38" i="3"/>
  <c r="N38" i="3" s="1"/>
  <c r="R51" i="3"/>
  <c r="Q51" i="3"/>
  <c r="P51" i="3"/>
  <c r="O51" i="3"/>
  <c r="M51" i="3"/>
  <c r="L51" i="3"/>
  <c r="G51" i="3"/>
  <c r="N51" i="3" s="1"/>
  <c r="R63" i="3"/>
  <c r="Q63" i="3"/>
  <c r="P63" i="3"/>
  <c r="O63" i="3"/>
  <c r="M63" i="3"/>
  <c r="L63" i="3"/>
  <c r="G63" i="3"/>
  <c r="N63" i="3" s="1"/>
  <c r="R21" i="3"/>
  <c r="Q21" i="3"/>
  <c r="P21" i="3"/>
  <c r="O21" i="3"/>
  <c r="M21" i="3"/>
  <c r="L21" i="3"/>
  <c r="G21" i="3"/>
  <c r="N21" i="3" s="1"/>
  <c r="R39" i="3"/>
  <c r="Q39" i="3"/>
  <c r="P39" i="3"/>
  <c r="O39" i="3"/>
  <c r="M39" i="3"/>
  <c r="L39" i="3"/>
  <c r="G39" i="3"/>
  <c r="N39" i="3" s="1"/>
  <c r="R10" i="3"/>
  <c r="Q10" i="3"/>
  <c r="P10" i="3"/>
  <c r="O10" i="3"/>
  <c r="M10" i="3"/>
  <c r="L10" i="3"/>
  <c r="G10" i="3"/>
  <c r="N10" i="3" s="1"/>
  <c r="D25" i="9" l="1"/>
  <c r="I25" i="9"/>
  <c r="D16" i="9"/>
  <c r="I16" i="9"/>
  <c r="I18" i="9"/>
  <c r="G23" i="9"/>
  <c r="E16" i="9"/>
  <c r="E18" i="9"/>
  <c r="F23" i="9"/>
  <c r="H23" i="9"/>
  <c r="F20" i="9"/>
  <c r="H20" i="9"/>
  <c r="G16" i="9"/>
  <c r="G18" i="9"/>
  <c r="C26" i="9"/>
  <c r="D12" i="9"/>
  <c r="N40" i="9"/>
  <c r="D43" i="9"/>
  <c r="I12" i="9"/>
  <c r="S40" i="9"/>
  <c r="I43" i="9"/>
  <c r="E2" i="9"/>
  <c r="E30" i="9"/>
  <c r="O42" i="9"/>
  <c r="O30" i="9"/>
  <c r="E41" i="9"/>
  <c r="O52" i="9"/>
  <c r="O56" i="9" s="1"/>
  <c r="E53" i="9"/>
  <c r="E56" i="9" s="1"/>
  <c r="G8" i="9"/>
  <c r="Q60" i="9"/>
  <c r="Q33" i="9"/>
  <c r="G33" i="9"/>
  <c r="G60" i="9"/>
  <c r="F4" i="9"/>
  <c r="F39" i="9"/>
  <c r="P39" i="9"/>
  <c r="F61" i="9"/>
  <c r="H4" i="9"/>
  <c r="H39" i="9"/>
  <c r="R39" i="9"/>
  <c r="H61" i="9"/>
  <c r="E17" i="9"/>
  <c r="E42" i="9"/>
  <c r="O41" i="9"/>
  <c r="E22" i="9"/>
  <c r="E64" i="9"/>
  <c r="O63" i="9"/>
  <c r="E12" i="9"/>
  <c r="O40" i="9"/>
  <c r="E43" i="9"/>
  <c r="G2" i="9"/>
  <c r="Q52" i="9"/>
  <c r="Q56" i="9" s="1"/>
  <c r="G53" i="9"/>
  <c r="G56" i="9" s="1"/>
  <c r="G30" i="9"/>
  <c r="Q42" i="9"/>
  <c r="Q30" i="9"/>
  <c r="Q35" i="9" s="1"/>
  <c r="G41" i="9"/>
  <c r="F8" i="9"/>
  <c r="F33" i="9"/>
  <c r="P60" i="9"/>
  <c r="P33" i="9"/>
  <c r="F60" i="9"/>
  <c r="H8" i="9"/>
  <c r="H60" i="9"/>
  <c r="H33" i="9"/>
  <c r="R60" i="9"/>
  <c r="R33" i="9"/>
  <c r="D4" i="9"/>
  <c r="D39" i="9"/>
  <c r="N39" i="9"/>
  <c r="D61" i="9"/>
  <c r="I4" i="9"/>
  <c r="I61" i="9"/>
  <c r="I39" i="9"/>
  <c r="S39" i="9"/>
  <c r="G17" i="9"/>
  <c r="G42" i="9"/>
  <c r="Q41" i="9"/>
  <c r="G22" i="9"/>
  <c r="Q63" i="9"/>
  <c r="G64" i="9"/>
  <c r="G12" i="9"/>
  <c r="Q40" i="9"/>
  <c r="G43" i="9"/>
  <c r="F2" i="9"/>
  <c r="P30" i="9"/>
  <c r="P42" i="9"/>
  <c r="F41" i="9"/>
  <c r="P52" i="9"/>
  <c r="P56" i="9" s="1"/>
  <c r="F53" i="9"/>
  <c r="F56" i="9" s="1"/>
  <c r="F30" i="9"/>
  <c r="F35" i="9" s="1"/>
  <c r="H2" i="9"/>
  <c r="R42" i="9"/>
  <c r="H41" i="9"/>
  <c r="R52" i="9"/>
  <c r="R56" i="9" s="1"/>
  <c r="H53" i="9"/>
  <c r="H56" i="9" s="1"/>
  <c r="R30" i="9"/>
  <c r="H30" i="9"/>
  <c r="H35" i="9" s="1"/>
  <c r="D8" i="9"/>
  <c r="D60" i="9"/>
  <c r="D33" i="9"/>
  <c r="N60" i="9"/>
  <c r="N33" i="9"/>
  <c r="I8" i="9"/>
  <c r="S60" i="9"/>
  <c r="S33" i="9"/>
  <c r="I60" i="9"/>
  <c r="I33" i="9"/>
  <c r="E4" i="9"/>
  <c r="E61" i="9"/>
  <c r="E39" i="9"/>
  <c r="O39" i="9"/>
  <c r="F17" i="9"/>
  <c r="F42" i="9"/>
  <c r="P41" i="9"/>
  <c r="H17" i="9"/>
  <c r="R41" i="9"/>
  <c r="H42" i="9"/>
  <c r="F22" i="9"/>
  <c r="P63" i="9"/>
  <c r="P64" i="9" s="1"/>
  <c r="F64" i="9"/>
  <c r="H22" i="9"/>
  <c r="R63" i="9"/>
  <c r="H64" i="9"/>
  <c r="F12" i="9"/>
  <c r="F43" i="9"/>
  <c r="P40" i="9"/>
  <c r="H12" i="9"/>
  <c r="R40" i="9"/>
  <c r="H43" i="9"/>
  <c r="D2" i="9"/>
  <c r="N42" i="9"/>
  <c r="D41" i="9"/>
  <c r="N52" i="9"/>
  <c r="D53" i="9"/>
  <c r="D56" i="9" s="1"/>
  <c r="D30" i="9"/>
  <c r="N30" i="9"/>
  <c r="I2" i="9"/>
  <c r="I30" i="9"/>
  <c r="S42" i="9"/>
  <c r="S30" i="9"/>
  <c r="I41" i="9"/>
  <c r="S52" i="9"/>
  <c r="S56" i="9" s="1"/>
  <c r="I53" i="9"/>
  <c r="I56" i="9" s="1"/>
  <c r="E8" i="9"/>
  <c r="O60" i="9"/>
  <c r="O33" i="9"/>
  <c r="E60" i="9"/>
  <c r="E33" i="9"/>
  <c r="G4" i="9"/>
  <c r="Q39" i="9"/>
  <c r="G61" i="9"/>
  <c r="G66" i="9" s="1"/>
  <c r="G39" i="9"/>
  <c r="D17" i="9"/>
  <c r="N41" i="9"/>
  <c r="D42" i="9"/>
  <c r="I17" i="9"/>
  <c r="I42" i="9"/>
  <c r="S41" i="9"/>
  <c r="D22" i="9"/>
  <c r="N63" i="9"/>
  <c r="D64" i="9"/>
  <c r="I22" i="9"/>
  <c r="I64" i="9"/>
  <c r="S63" i="9"/>
  <c r="N56" i="9"/>
  <c r="O35" i="9"/>
  <c r="F7" i="9"/>
  <c r="H7" i="9"/>
  <c r="D7" i="9"/>
  <c r="I7" i="9"/>
  <c r="G7" i="9"/>
  <c r="E7" i="9"/>
  <c r="P35" i="9" l="1"/>
  <c r="O64" i="9"/>
  <c r="N35" i="9"/>
  <c r="R35" i="9"/>
  <c r="S64" i="9"/>
  <c r="G48" i="9"/>
  <c r="F48" i="9"/>
  <c r="F66" i="9"/>
  <c r="G35" i="9"/>
  <c r="Q64" i="9"/>
  <c r="I35" i="9"/>
  <c r="D48" i="9"/>
  <c r="I66" i="9"/>
  <c r="D35" i="9"/>
  <c r="D66" i="9"/>
  <c r="Q48" i="9"/>
  <c r="E48" i="9"/>
  <c r="I48" i="9"/>
  <c r="E66" i="9"/>
  <c r="S35" i="9"/>
  <c r="N64" i="9"/>
  <c r="H48" i="9"/>
  <c r="E35" i="9"/>
  <c r="E26" i="9"/>
  <c r="F26" i="9"/>
  <c r="H66" i="9"/>
  <c r="G26" i="9"/>
  <c r="D26" i="9"/>
  <c r="O48" i="9"/>
  <c r="S48" i="9"/>
  <c r="I26" i="9"/>
  <c r="H26" i="9"/>
  <c r="N48" i="9"/>
  <c r="R64" i="9"/>
  <c r="R48" i="9"/>
  <c r="P48" i="9"/>
</calcChain>
</file>

<file path=xl/sharedStrings.xml><?xml version="1.0" encoding="utf-8"?>
<sst xmlns="http://schemas.openxmlformats.org/spreadsheetml/2006/main" count="1452" uniqueCount="213">
  <si>
    <t>Alimento</t>
  </si>
  <si>
    <t>Gramos</t>
  </si>
  <si>
    <t>Calorías</t>
  </si>
  <si>
    <t>Carbo</t>
  </si>
  <si>
    <t>Grasa</t>
  </si>
  <si>
    <t>Fibra</t>
  </si>
  <si>
    <t>Sodio</t>
  </si>
  <si>
    <t>Agua</t>
  </si>
  <si>
    <t>Precio</t>
  </si>
  <si>
    <t>Banano</t>
  </si>
  <si>
    <t>Comida</t>
  </si>
  <si>
    <t>Gramos porción</t>
  </si>
  <si>
    <t>Carbohidratos</t>
  </si>
  <si>
    <t>Carbohidratos Netos</t>
  </si>
  <si>
    <t>Proteína</t>
  </si>
  <si>
    <t>Calorias por gramo</t>
  </si>
  <si>
    <t>Grasa por gramo</t>
  </si>
  <si>
    <t>Carbo por gramo</t>
  </si>
  <si>
    <t>Prote por gramo</t>
  </si>
  <si>
    <t>Fibra por gramo</t>
  </si>
  <si>
    <t>Sodio por gramo</t>
  </si>
  <si>
    <t>Agua por gramo</t>
  </si>
  <si>
    <t>Mango</t>
  </si>
  <si>
    <t>Fresa</t>
  </si>
  <si>
    <t>Sandia</t>
  </si>
  <si>
    <t>Papaya</t>
  </si>
  <si>
    <t>Mandarina</t>
  </si>
  <si>
    <t>Aguacate</t>
  </si>
  <si>
    <t>Pasta</t>
  </si>
  <si>
    <t>Carne molida</t>
  </si>
  <si>
    <t>Salchicha</t>
  </si>
  <si>
    <t>Chorizo</t>
  </si>
  <si>
    <t>Pancake</t>
  </si>
  <si>
    <t>Jamón</t>
  </si>
  <si>
    <t>Miel</t>
  </si>
  <si>
    <t>Papa</t>
  </si>
  <si>
    <t>Zanahoria Cruda</t>
  </si>
  <si>
    <t>Zanahoria Cocinada</t>
  </si>
  <si>
    <t>Limón</t>
  </si>
  <si>
    <t>Leche</t>
  </si>
  <si>
    <t>Arroz</t>
  </si>
  <si>
    <t>Lentejas</t>
  </si>
  <si>
    <t>Garbanzos</t>
  </si>
  <si>
    <t>Maiz Dulce</t>
  </si>
  <si>
    <t>Huevo frito</t>
  </si>
  <si>
    <t>Huevo hervido</t>
  </si>
  <si>
    <t>Salsa de tomate</t>
  </si>
  <si>
    <t>Arvejas</t>
  </si>
  <si>
    <t>Mayonesa</t>
  </si>
  <si>
    <t>Pan</t>
  </si>
  <si>
    <t>Salmón</t>
  </si>
  <si>
    <t>Mani</t>
  </si>
  <si>
    <t>Brócoli</t>
  </si>
  <si>
    <t>Lechuga</t>
  </si>
  <si>
    <t>Aceite de Oliva</t>
  </si>
  <si>
    <t>Salsa Teriyaki</t>
  </si>
  <si>
    <t>Atún</t>
  </si>
  <si>
    <t>Chocolate</t>
  </si>
  <si>
    <t>Mantequilla</t>
  </si>
  <si>
    <t>Manzana</t>
  </si>
  <si>
    <t>Tomate</t>
  </si>
  <si>
    <t>Carve</t>
  </si>
  <si>
    <t>Sal</t>
  </si>
  <si>
    <t>Bocadillo</t>
  </si>
  <si>
    <t>Panela</t>
  </si>
  <si>
    <t>Yogurt</t>
  </si>
  <si>
    <t>Maggi</t>
  </si>
  <si>
    <t>Goulash</t>
  </si>
  <si>
    <t>Galletas Tosh</t>
  </si>
  <si>
    <t>Cocoa</t>
  </si>
  <si>
    <t>Aceite de Girasol</t>
  </si>
  <si>
    <t>Granola</t>
  </si>
  <si>
    <t>Lunes</t>
  </si>
  <si>
    <t>Martes</t>
  </si>
  <si>
    <t>Miércoles</t>
  </si>
  <si>
    <t>Jueves</t>
  </si>
  <si>
    <t>Viernes</t>
  </si>
  <si>
    <t>Sábado</t>
  </si>
  <si>
    <t>Domingo</t>
  </si>
  <si>
    <t>Desayuno</t>
  </si>
  <si>
    <t>Almuerzo</t>
  </si>
  <si>
    <t>Cena</t>
  </si>
  <si>
    <t>Tortilla</t>
  </si>
  <si>
    <t>Sanduche</t>
  </si>
  <si>
    <t>Ensalada de verduras + Arroz + Proteína</t>
  </si>
  <si>
    <t>Puré de papá + Arroz + Proteína</t>
  </si>
  <si>
    <t>Tortilla con proteína + Arroz + tomate</t>
  </si>
  <si>
    <t>Alternativas</t>
  </si>
  <si>
    <t>Torta de lentejas</t>
  </si>
  <si>
    <t>Ensalada de atún, maicitos y huevo</t>
  </si>
  <si>
    <t>Ensalada de tomate, zanahoría y vinagreta</t>
  </si>
  <si>
    <t>Papas al vapor</t>
  </si>
  <si>
    <t>Pasta con pollo o carne molida+ Ensalada sencilla</t>
  </si>
  <si>
    <t>Torta de lentejas y Carve</t>
  </si>
  <si>
    <t>Albóndigas de carve + Carne</t>
  </si>
  <si>
    <t>Tacos</t>
  </si>
  <si>
    <t>Ensalada de atún, maicitos y huevo + Arroz + Papa al vapor</t>
  </si>
  <si>
    <t>Garbanzos + Ensalada de tomate, zanahoria, brocoli y vinagreta + proteína pequeña</t>
  </si>
  <si>
    <t>Tacos + Arroz  + Ensalada de Zanahoria</t>
  </si>
  <si>
    <t>Pasta con atún + Ensalada de arvejas, zanahoria y huevo tibio</t>
  </si>
  <si>
    <t>Producto</t>
  </si>
  <si>
    <t>Marca</t>
  </si>
  <si>
    <t>Cantidad</t>
  </si>
  <si>
    <t>Peso</t>
  </si>
  <si>
    <t>Precio por gramo</t>
  </si>
  <si>
    <t>-</t>
  </si>
  <si>
    <t>Gala</t>
  </si>
  <si>
    <t>Tomi</t>
  </si>
  <si>
    <t>Oneco</t>
  </si>
  <si>
    <t>Salsa de Tomate</t>
  </si>
  <si>
    <t>J&amp;B</t>
  </si>
  <si>
    <t>Spagueti</t>
  </si>
  <si>
    <t>Noel</t>
  </si>
  <si>
    <t>MercaZ</t>
  </si>
  <si>
    <t>Tahiti</t>
  </si>
  <si>
    <t>Chonto</t>
  </si>
  <si>
    <t>Queso</t>
  </si>
  <si>
    <t>Dispron</t>
  </si>
  <si>
    <t>Pechuga</t>
  </si>
  <si>
    <t>Galletas</t>
  </si>
  <si>
    <t>Tosh</t>
  </si>
  <si>
    <t>Pan Tajado</t>
  </si>
  <si>
    <t>Goodman</t>
  </si>
  <si>
    <t>Limonada</t>
  </si>
  <si>
    <t>Fajitas de pechuga</t>
  </si>
  <si>
    <t>Supermercado</t>
  </si>
  <si>
    <t>Año</t>
  </si>
  <si>
    <t>Zev</t>
  </si>
  <si>
    <t>Crema de Leche</t>
  </si>
  <si>
    <t>Salsa de maíz dulce</t>
  </si>
  <si>
    <t>Risal</t>
  </si>
  <si>
    <t>Leche en Polvo</t>
  </si>
  <si>
    <t>D1</t>
  </si>
  <si>
    <t>Carnelly</t>
  </si>
  <si>
    <t>Quesillo Tajado</t>
  </si>
  <si>
    <t>Tradicional</t>
  </si>
  <si>
    <t>La Gustadora (MercaZ)</t>
  </si>
  <si>
    <t>Supermercado/Marca</t>
  </si>
  <si>
    <t>Pasta Penne</t>
  </si>
  <si>
    <t>Fecha</t>
  </si>
  <si>
    <t>Comida del día</t>
  </si>
  <si>
    <t>Ingrediente</t>
  </si>
  <si>
    <t>Avena</t>
  </si>
  <si>
    <t>Champiñón</t>
  </si>
  <si>
    <t>Etiquetas de fila</t>
  </si>
  <si>
    <t>Total general</t>
  </si>
  <si>
    <t>Suma de Calorías</t>
  </si>
  <si>
    <t>Suma de Proteína</t>
  </si>
  <si>
    <t>Salchicha de pollo</t>
  </si>
  <si>
    <t>Verduras Mix</t>
  </si>
  <si>
    <t>Chía</t>
  </si>
  <si>
    <t>Pan Blanco</t>
  </si>
  <si>
    <t>Vísceras de pollo</t>
  </si>
  <si>
    <t>Helado Light</t>
  </si>
  <si>
    <t>Vive 100</t>
  </si>
  <si>
    <t>Queso Mozarella en Bloque</t>
  </si>
  <si>
    <t>(en blanco)</t>
  </si>
  <si>
    <t>Biscolata Minis</t>
  </si>
  <si>
    <t>Jamón de Pollo</t>
  </si>
  <si>
    <t>Arepa con queso Mozarella</t>
  </si>
  <si>
    <t>Masmai</t>
  </si>
  <si>
    <t>El Estío</t>
  </si>
  <si>
    <t>Carlo Forte</t>
  </si>
  <si>
    <t>Latti</t>
  </si>
  <si>
    <t>Biscolata</t>
  </si>
  <si>
    <t>Fit Graan</t>
  </si>
  <si>
    <t>Sol Naciente</t>
  </si>
  <si>
    <t>Horneaditos</t>
  </si>
  <si>
    <t>Brakel</t>
  </si>
  <si>
    <t>Queso tajado Mozarella</t>
  </si>
  <si>
    <t>Deliziare</t>
  </si>
  <si>
    <t>Capira</t>
  </si>
  <si>
    <t>Huevo Frito</t>
  </si>
  <si>
    <t>Merkepaisa</t>
  </si>
  <si>
    <t>Saciedad</t>
  </si>
  <si>
    <t>Prote</t>
  </si>
  <si>
    <t>Precio x Gr</t>
  </si>
  <si>
    <t>Don Olio</t>
  </si>
  <si>
    <t>Zanahoria cocinada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</si>
  <si>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</si>
  <si>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</si>
  <si>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</si>
  <si>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</si>
  <si>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</si>
  <si>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</si>
  <si>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</si>
  <si>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</si>
  <si>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</si>
  <si>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</si>
  <si>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</si>
  <si>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</si>
  <si>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</si>
  <si>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</si>
  <si>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</si>
  <si>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</si>
  <si>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</si>
  <si>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</t>
  </si>
  <si>
    <t>Día  1</t>
  </si>
  <si>
    <t>Queso tajado</t>
  </si>
  <si>
    <t>Día  2</t>
  </si>
  <si>
    <t>Día 3</t>
  </si>
  <si>
    <t>Día 4</t>
  </si>
  <si>
    <t>Día  5</t>
  </si>
  <si>
    <t>Día  6</t>
  </si>
  <si>
    <t>Día  7</t>
  </si>
  <si>
    <t>Día  8</t>
  </si>
  <si>
    <t>Día  9</t>
  </si>
  <si>
    <t>Día  10</t>
  </si>
  <si>
    <t>Día  11</t>
  </si>
  <si>
    <t>Día  12</t>
  </si>
  <si>
    <t>Maiz dulce</t>
  </si>
  <si>
    <t>Zanahoria cruda</t>
  </si>
  <si>
    <t>Mama 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</si>
</sst>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&quot;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8"/>
      <color rgb="FF000000"/>
      <name val="Calibri"/>
      <family val="2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0" xfId="0" applyFont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/>
    <xf numFmtId="0" fontId="3" fillId="0" borderId="0" xfId="0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0" fillId="2" borderId="1" xfId="0" applyFont="1" applyFill="1" applyBorder="1"/>
    <xf numFmtId="0" fontId="0" fillId="0" borderId="1" xfId="0" applyFont="1" applyBorder="1"/>
    <xf numFmtId="1" fontId="0" fillId="0" borderId="1" xfId="0" applyNumberFormat="1" applyFont="1" applyBorder="1"/>
    <xf numFmtId="1" fontId="0" fillId="2" borderId="1" xfId="0" applyNumberFormat="1" applyFont="1" applyFill="1" applyBorder="1"/>
    <xf numFmtId="0" fontId="0" fillId="0" borderId="0" xfId="0" applyAlignment="1">
      <alignment horizontal="left" indent="1"/>
    </xf>
    <xf numFmtId="166" fontId="0" fillId="0" borderId="0" xfId="0" applyNumberFormat="1"/>
    <xf numFmtId="10" fontId="0" fillId="0" borderId="0" xfId="0" applyNumberFormat="1"/>
    <xf numFmtId="0" fontId="0" fillId="3" borderId="0" xfId="0" applyFill="1"/>
    <xf numFmtId="1" fontId="1" fillId="0" borderId="0" xfId="0" applyNumberFormat="1" applyFont="1"/>
    <xf numFmtId="1" fontId="0" fillId="0" borderId="0" xfId="0" applyNumberFormat="1" applyFont="1"/>
  </cellXfs>
  <cellStyles count="1">
    <cellStyle name="Normal" xfId="0" builtinId="0"/>
  </cellStyles>
  <dxfs count="21">
    <dxf>
      <numFmt numFmtId="1" formatCode="0"/>
    </dxf>
    <dxf>
      <numFmt numFmtId="165" formatCode="0.0"/>
    </dxf>
    <dxf>
      <numFmt numFmtId="14" formatCode="0.00%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d/mm/yyyy"/>
    </dxf>
    <dxf>
      <numFmt numFmtId="167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[Cálculo Macros Sergio.xlsm]Tabla Dinámica!TablaDinámica1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257662213273903"/>
          <c:y val="4.0207861341276005E-2"/>
          <c:w val="0.88794897021480368"/>
          <c:h val="0.85006268582624356"/>
        </c:manualLayout>
      </c:layout>
      <c:lineChart>
        <c:grouping val="standard"/>
        <c:varyColors val="0"/>
        <c:ser>
          <c:idx val="0"/>
          <c:order val="0"/>
          <c:tx>
            <c:strRef>
              <c:f>'Tabla Dinámica'!$B$1</c:f>
              <c:strCache>
                <c:ptCount val="1"/>
                <c:pt idx="0">
                  <c:v>Suma de Calorías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 Dinámica'!$A$2:$A$4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'Tabla Dinámica'!$B$2:$B$4</c:f>
              <c:numCache>
                <c:formatCode>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55-4902-A449-0DA94DE8B935}"/>
            </c:ext>
          </c:extLst>
        </c:ser>
        <c:ser>
          <c:idx val="1"/>
          <c:order val="1"/>
          <c:tx>
            <c:strRef>
              <c:f>'Tabla Dinámica'!$C$1</c:f>
              <c:strCache>
                <c:ptCount val="1"/>
                <c:pt idx="0">
                  <c:v>Suma de Proteína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 Dinámica'!$A$2:$A$4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'Tabla Dinámica'!$C$2:$C$4</c:f>
              <c:numCache>
                <c:formatCode>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5-4902-A449-0DA94DE8B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418703"/>
        <c:axId val="1427413295"/>
      </c:lineChart>
      <c:catAx>
        <c:axId val="1427418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13295"/>
        <c:crosses val="autoZero"/>
        <c:auto val="1"/>
        <c:lblAlgn val="ctr"/>
        <c:lblOffset val="100"/>
        <c:noMultiLvlLbl val="0"/>
      </c:catAx>
      <c:valAx>
        <c:axId val="142741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18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121920</xdr:rowOff>
        </xdr:from>
        <xdr:to>
          <xdr:col>2</xdr:col>
          <xdr:colOff>563880</xdr:colOff>
          <xdr:row>11</xdr:row>
          <xdr:rowOff>144780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mis Macros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13</xdr:row>
          <xdr:rowOff>68580</xdr:rowOff>
        </xdr:from>
        <xdr:to>
          <xdr:col>2</xdr:col>
          <xdr:colOff>556260</xdr:colOff>
          <xdr:row>20</xdr:row>
          <xdr:rowOff>99060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752474</xdr:colOff>
      <xdr:row>2</xdr:row>
      <xdr:rowOff>47624</xdr:rowOff>
    </xdr:from>
    <xdr:to>
      <xdr:col>15</xdr:col>
      <xdr:colOff>361950</xdr:colOff>
      <xdr:row>27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XELLO" refreshedDate="44545.33719085648" createdVersion="7" refreshedVersion="7" minRefreshableVersion="3" recordCount="1" xr:uid="{9199BCAE-704E-437B-A6D7-3A5D0F60A4FF}">
  <cacheSource type="worksheet">
    <worksheetSource name="Seguimiento_Mary"/>
  </cacheSource>
  <cacheFields count="11">
    <cacheField name="Fecha" numFmtId="14">
      <sharedItems containsNonDate="0" containsString="0" containsBlank="1" count="1">
        <m/>
      </sharedItems>
    </cacheField>
    <cacheField name="Comida del día" numFmtId="14">
      <sharedItems containsNonDate="0" containsBlank="1" count="6">
        <m/>
        <s v="Cena" u="1"/>
        <s v="Almuerzo" u="1"/>
        <s v="Merienda" u="1"/>
        <s v="Desayuno" u="1"/>
        <s v="Snack" u="1"/>
      </sharedItems>
    </cacheField>
    <cacheField name="Ingrediente" numFmtId="0">
      <sharedItems containsNonDate="0" containsString="0" containsBlank="1"/>
    </cacheField>
    <cacheField name="Gramos" numFmtId="0">
      <sharedItems containsNonDate="0" containsString="0" containsBlank="1"/>
    </cacheField>
    <cacheField name="Calorías" numFmtId="1">
      <sharedItems containsNonDate="0" containsString="0" containsBlank="1"/>
    </cacheField>
    <cacheField name="Grasa" numFmtId="1">
      <sharedItems containsNonDate="0" containsString="0" containsBlank="1"/>
    </cacheField>
    <cacheField name="Carbo" numFmtId="1">
      <sharedItems containsNonDate="0" containsString="0" containsBlank="1"/>
    </cacheField>
    <cacheField name="Proteína" numFmtId="1">
      <sharedItems containsNonDate="0" containsString="0" containsBlank="1"/>
    </cacheField>
    <cacheField name="Fibra" numFmtId="1">
      <sharedItems containsNonDate="0" containsString="0" containsBlank="1"/>
    </cacheField>
    <cacheField name="Sodio" numFmtId="1">
      <sharedItems containsNonDate="0" containsString="0" containsBlank="1"/>
    </cacheField>
    <cacheField name="Agua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0F7E9-CE0C-4553-B87B-4599E439AFD9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1:C4" firstHeaderRow="0" firstDataRow="1" firstDataCol="1"/>
  <pivotFields count="11">
    <pivotField axis="axisRow" numFmtId="14" showAll="0">
      <items count="2">
        <item x="0"/>
        <item t="default" sd="0"/>
      </items>
    </pivotField>
    <pivotField axis="axisRow" showAll="0">
      <items count="7">
        <item sd="0" m="1" x="2"/>
        <item sd="0" m="1" x="1"/>
        <item sd="0" m="1" x="4"/>
        <item x="0"/>
        <item m="1" x="3"/>
        <item m="1" x="5"/>
        <item t="default" sd="0"/>
      </items>
    </pivotField>
    <pivotField showAll="0"/>
    <pivotField showAll="0"/>
    <pivotField dataField="1" numFmtId="1" showAll="0"/>
    <pivotField numFmtId="1" showAll="0"/>
    <pivotField numFmtId="1" showAll="0"/>
    <pivotField dataField="1" numFmtId="1" showAll="0"/>
    <pivotField numFmtId="1" showAll="0"/>
    <pivotField numFmtId="1" showAll="0"/>
    <pivotField numFmtId="1" showAll="0"/>
  </pivotFields>
  <rowFields count="2">
    <field x="0"/>
    <field x="1"/>
  </rowFields>
  <rowItems count="3">
    <i>
      <x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lorías" fld="4" baseField="0" baseItem="0"/>
    <dataField name="Suma de Proteína" fld="7" baseField="0" baseItem="0"/>
  </dataFields>
  <formats count="1">
    <format dxfId="0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1BEB50-D3C1-497E-8DEA-F7AB3C5BF2C1}" name="Seguimiento_Mary" displayName="Seguimiento_Mary" ref="A1:J5" totalsRowShown="0">
  <tableColumns count="10">
    <tableColumn id="1" xr3:uid="{605D63EB-CAAB-4DB4-8FB6-F9A408CDA491}" name="Fecha" dataDxfId="20"/>
    <tableColumn id="2" xr3:uid="{4FA4AB6C-9DCB-4D31-84D9-A5D8688C27A3}" name="Comida del día" dataDxfId="19"/>
    <tableColumn id="3" xr3:uid="{BF611857-DD95-49FD-846A-A21D78787D2B}" name="Ingrediente"/>
    <tableColumn id="4" xr3:uid="{C5BE8213-C488-4A29-B1E0-F73A4F4595DA}" name="Gramos"/>
    <tableColumn id="5" xr3:uid="{25B6E1A9-B3F1-4FEA-8AFC-0828432222FD}" name="Calorías" dataDxfId="18"/>
    <tableColumn id="6" xr3:uid="{68674C2B-CDA1-4D36-84D1-7D62F39D0354}" name="Grasa" dataDxfId="17"/>
    <tableColumn id="7" xr3:uid="{B1D6D815-63EA-408C-AB23-416488A7E00F}" name="Carbo" dataDxfId="16"/>
    <tableColumn id="8" xr3:uid="{D5E270C8-7C8A-4F24-A4E8-810DF0C01F76}" name="Proteína" dataDxfId="15"/>
    <tableColumn id="9" xr3:uid="{08FE04F5-D9D4-43AC-B7CF-374D76CD7680}" name="Fibra" dataDxfId="14"/>
    <tableColumn id="10" xr3:uid="{7B76718B-8361-491F-802A-54452B363C10}" name="Sodio" dataDxfId="1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4CECAD-F42C-4C1E-A1FF-4482C80FD388}" name="Comidas_Individuales" displayName="Comidas_Individuales" ref="A1:S70" totalsRowShown="0">
  <sortState xmlns:xlrd2="http://schemas.microsoft.com/office/spreadsheetml/2017/richdata2" ref="A2:S70">
    <sortCondition ref="A1:A70"/>
  </sortState>
  <tableColumns count="19">
    <tableColumn id="1" xr3:uid="{570CA31D-A829-4834-81F9-DD87D6AE2658}" name="Comida" dataDxfId="12"/>
    <tableColumn id="18" xr3:uid="{D299CA54-A3CD-445A-85AB-63DD79150959}" name="Supermercado/Marca" dataDxfId="11"/>
    <tableColumn id="2" xr3:uid="{FB4131A1-EEF7-4AEE-8AEF-485D2134EEF7}" name="Gramos porción"/>
    <tableColumn id="3" xr3:uid="{F1A2D0EE-23B0-4F45-80FB-0B9E241FA1FD}" name="Calorías"/>
    <tableColumn id="4" xr3:uid="{0A66F3BE-593B-4EBF-B2AB-08722D7C13A2}" name="Grasa"/>
    <tableColumn id="5" xr3:uid="{ED094982-B7CC-43DB-B7AD-CD1FA799F040}" name="Carbohidratos"/>
    <tableColumn id="6" xr3:uid="{5FA42479-7D4B-4DBB-A82C-8209F0196C72}" name="Carbohidratos Netos" dataDxfId="10">
      <calculatedColumnFormula>F2-I2</calculatedColumnFormula>
    </tableColumn>
    <tableColumn id="7" xr3:uid="{7E76C9E3-F074-482D-9C75-F686CC8448A6}" name="Proteína"/>
    <tableColumn id="8" xr3:uid="{26943506-6BC5-40DF-BECF-0C3FBF182044}" name="Fibra"/>
    <tableColumn id="9" xr3:uid="{18B5E1EA-67B2-4586-88E3-9CAD9866A524}" name="Sodio"/>
    <tableColumn id="10" xr3:uid="{45F7F4B9-2C9B-46B9-A834-F1E9FD266674}" name="Agua"/>
    <tableColumn id="11" xr3:uid="{7055B9A3-8DD9-428A-9764-9D20F3100F5A}" name="Calorias por gramo" dataDxfId="9">
      <calculatedColumnFormula>D2/C2</calculatedColumnFormula>
    </tableColumn>
    <tableColumn id="12" xr3:uid="{E61A459B-C6EC-4275-9731-EA09CCFD68E1}" name="Grasa por gramo" dataDxfId="8">
      <calculatedColumnFormula>E2/C2</calculatedColumnFormula>
    </tableColumn>
    <tableColumn id="13" xr3:uid="{7E524FC5-969D-4D28-90A2-CDE1B2F8EEEA}" name="Carbo por gramo" dataDxfId="7">
      <calculatedColumnFormula>G2/C2</calculatedColumnFormula>
    </tableColumn>
    <tableColumn id="14" xr3:uid="{692BC6B4-3ECC-4A28-BC84-BC81AD57B1C7}" name="Prote por gramo" dataDxfId="6">
      <calculatedColumnFormula>H2/C2</calculatedColumnFormula>
    </tableColumn>
    <tableColumn id="15" xr3:uid="{FA086E67-5C9E-4B8F-BFCB-E897DBCD82BC}" name="Fibra por gramo" dataDxfId="5">
      <calculatedColumnFormula>I2/C2</calculatedColumnFormula>
    </tableColumn>
    <tableColumn id="16" xr3:uid="{5D236871-8943-4792-9E4C-5B261C1F6F8E}" name="Sodio por gramo" dataDxfId="4">
      <calculatedColumnFormula>J2/C2</calculatedColumnFormula>
    </tableColumn>
    <tableColumn id="17" xr3:uid="{87D3FF6E-CF67-47D0-A881-1F0789F8E519}" name="Agua por gramo" dataDxfId="3">
      <calculatedColumnFormula>K2/C2</calculatedColumnFormula>
    </tableColumn>
    <tableColumn id="19" xr3:uid="{F569D6B7-713F-4915-8D2F-AC5B347457DD}" name="Saciedad" dataDxfId="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4CCCF8-3D41-4F50-ACD3-A462C2E36226}" name="Precio_Alimentos" displayName="Precio_Alimentos" ref="A1:H57" totalsRowShown="0">
  <sortState xmlns:xlrd2="http://schemas.microsoft.com/office/spreadsheetml/2017/richdata2" ref="A2:H44">
    <sortCondition ref="A2:A44"/>
  </sortState>
  <tableColumns count="8">
    <tableColumn id="1" xr3:uid="{84CB00C7-1D64-462B-86D6-CE65E27318D0}" name="Producto"/>
    <tableColumn id="2" xr3:uid="{94C98651-86F9-4646-B515-0BB034EFC817}" name="Marca"/>
    <tableColumn id="3" xr3:uid="{D1F09DB2-D7E1-49D8-AB35-BE62DD8FC99E}" name="Supermercado"/>
    <tableColumn id="8" xr3:uid="{F05FF8E8-7541-4395-8AC8-611273B63631}" name="Año"/>
    <tableColumn id="4" xr3:uid="{45ADFE5C-4386-4A87-9F4B-CEA7C121E656}" name="Cantidad"/>
    <tableColumn id="5" xr3:uid="{4EC4F79E-88EA-471B-9925-E18DB667F03A}" name="Peso"/>
    <tableColumn id="6" xr3:uid="{BFCB3E6A-F989-4B7D-B1BA-D3B8D4B5C39B}" name="Precio"/>
    <tableColumn id="7" xr3:uid="{CCABA2B5-DEA0-4616-A0C2-9B9698499DD0}" name="Precio por gramo" dataDxfId="1">
      <calculatedColumnFormula>G2/F2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6849B0-01F9-46F0-B7EA-0018F66CE3A2}" name="Mis_Comidas" displayName="Mis_Comidas" ref="A1:A25" totalsRowShown="0">
  <autoFilter ref="A1:A25" xr:uid="{AD6849B0-01F9-46F0-B7EA-0018F66CE3A2}"/>
  <tableColumns count="1">
    <tableColumn id="1" xr3:uid="{4A2B9E1F-153E-4E07-84E7-398CCC863A3C}" name="Comi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8BFCF-19F6-4DFE-9AD5-D408116A8842}" name="Mis_comidas2" displayName="Mis_comidas2" ref="A29:A33" totalsRowShown="0">
  <autoFilter ref="A29:A33" xr:uid="{4B08BFCF-19F6-4DFE-9AD5-D408116A8842}"/>
  <tableColumns count="1">
    <tableColumn id="1" xr3:uid="{76366D6D-B0DF-4197-B2F4-E31AEC229A5A}" name="Comi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2C66FDD-83B1-4855-927A-D3A95D15BF2B}" name="Mis_comidas3" displayName="Mis_comidas3" ref="A38:A46" totalsRowShown="0">
  <autoFilter ref="A38:A46" xr:uid="{62C66FDD-83B1-4855-927A-D3A95D15BF2B}"/>
  <tableColumns count="1">
    <tableColumn id="1" xr3:uid="{29FCA858-A5C7-43C1-9650-BE5D1F6DE94D}" name="Comi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C1DCE8-FEBE-4EE0-9FB9-F303E5F30B22}" name="Mis_comidas5" displayName="Mis_comidas5" ref="A58:A65" totalsRowShown="0">
  <autoFilter ref="A58:A65" xr:uid="{8DC1DCE8-FEBE-4EE0-9FB9-F303E5F30B22}"/>
  <tableColumns count="1">
    <tableColumn id="1" xr3:uid="{E8A5489E-5F8D-42D0-8464-A504FB5654E5}" name="Comi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92D304-3DE1-4A59-AFC9-889B58A51E95}" name="Mis_comidas4" displayName="Mis_comidas4" ref="A51:A54" totalsRowShown="0">
  <autoFilter ref="A51:A54" xr:uid="{2A92D304-3DE1-4A59-AFC9-889B58A51E95}"/>
  <tableColumns count="1">
    <tableColumn id="1" xr3:uid="{6BF2E6F9-9BDA-4B73-AB62-0E50028AA74B}" name="Comi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887B025-2759-4535-BE34-3A282F9A0E57}" name="Mis_comidas217" displayName="Mis_comidas217" ref="K29:K33" totalsRowShown="0">
  <autoFilter ref="K29:K33" xr:uid="{9887B025-2759-4535-BE34-3A282F9A0E57}"/>
  <tableColumns count="1">
    <tableColumn id="1" xr3:uid="{ADFA31A8-37DA-4322-9426-1A72BD6D9977}" name="Comi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81F2A26-B8F5-4A89-AA46-A144061BCC4F}" name="Mis_comidas318" displayName="Mis_comidas318" ref="K38:K46" totalsRowShown="0">
  <autoFilter ref="K38:K46" xr:uid="{481F2A26-B8F5-4A89-AA46-A144061BCC4F}"/>
  <tableColumns count="1">
    <tableColumn id="1" xr3:uid="{338427BB-22DF-4AE1-A528-337FDC4B0CDB}" name="Comid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9CC1036-59D6-4F56-86D6-8C5FACC94FC0}" name="Mis_comidas519" displayName="Mis_comidas519" ref="K58:K63" totalsRowShown="0">
  <autoFilter ref="K58:K63" xr:uid="{29CC1036-59D6-4F56-86D6-8C5FACC94FC0}"/>
  <tableColumns count="1">
    <tableColumn id="1" xr3:uid="{D9DF1F13-890E-450B-932E-26370489FB18}" name="Comi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F77418F-ED01-42B6-938B-45AC5B49FA2D}" name="Mis_comidas420" displayName="Mis_comidas420" ref="K51:K53" totalsRowShown="0">
  <autoFilter ref="K51:K53" xr:uid="{7F77418F-ED01-42B6-938B-45AC5B49FA2D}"/>
  <tableColumns count="1">
    <tableColumn id="1" xr3:uid="{F94E5DD7-DDC3-426A-B785-44D47FC02AA7}" name="Comi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:M74"/>
  <sheetViews>
    <sheetView workbookViewId="0">
      <selection activeCell="D12" sqref="D12"/>
    </sheetView>
  </sheetViews>
  <sheetFormatPr defaultColWidth="11.5546875" defaultRowHeight="14.4" x14ac:dyDescent="0.3"/>
  <cols>
    <col min="4" max="4" width="23.5546875" bestFit="1" customWidth="1"/>
    <col min="5" max="5" width="7.6640625" bestFit="1" customWidth="1"/>
  </cols>
  <sheetData>
    <row r="1" spans="4:13" x14ac:dyDescent="0.3">
      <c r="D1" s="1" t="s">
        <v>0</v>
      </c>
      <c r="E1" s="1" t="s">
        <v>1</v>
      </c>
      <c r="F1" s="15" t="s">
        <v>2</v>
      </c>
      <c r="G1" s="15" t="s">
        <v>4</v>
      </c>
      <c r="H1" s="15" t="s">
        <v>3</v>
      </c>
      <c r="I1" s="15" t="s">
        <v>14</v>
      </c>
      <c r="J1" s="15" t="s">
        <v>5</v>
      </c>
      <c r="K1" s="15" t="s">
        <v>6</v>
      </c>
      <c r="L1" s="15" t="s">
        <v>7</v>
      </c>
      <c r="M1" s="15" t="s">
        <v>8</v>
      </c>
    </row>
    <row r="2" spans="4:13" x14ac:dyDescent="0.3">
      <c r="D2" s="16" t="s">
        <v>71</v>
      </c>
      <c r="E2" s="19">
        <v>70</v>
      </c>
      <c r="F2" s="6">
        <v>256.66666666666663</v>
      </c>
      <c r="G2" s="6">
        <v>2.3333333333333335</v>
      </c>
      <c r="H2" s="6">
        <v>49</v>
      </c>
      <c r="I2" s="6">
        <v>4.666666666666667</v>
      </c>
      <c r="J2" s="6">
        <v>7</v>
      </c>
      <c r="K2" s="6">
        <v>7.0000000000000007E-2</v>
      </c>
      <c r="L2" s="6">
        <v>0</v>
      </c>
      <c r="M2" s="6">
        <f>(VLOOKUP(D2,'Precio por alimento'!A:H,8,0))*E2</f>
        <v>758</v>
      </c>
    </row>
    <row r="3" spans="4:13" x14ac:dyDescent="0.3">
      <c r="D3" s="17" t="s">
        <v>39</v>
      </c>
      <c r="E3" s="18">
        <v>100</v>
      </c>
      <c r="F3" s="6">
        <v>58.333333333333336</v>
      </c>
      <c r="G3" s="6">
        <v>2.9166666666666665</v>
      </c>
      <c r="H3" s="6">
        <v>4.583333333333333</v>
      </c>
      <c r="I3" s="6">
        <v>3.3333333333333335</v>
      </c>
      <c r="J3" s="6">
        <v>0</v>
      </c>
      <c r="K3" s="6">
        <v>6.6666666666666666E-2</v>
      </c>
      <c r="L3" s="6">
        <v>62.5</v>
      </c>
      <c r="M3" s="6">
        <f>(VLOOKUP(D3,'Precio por alimento'!A:H,8,0))*E3</f>
        <v>243.33333333333331</v>
      </c>
    </row>
    <row r="4" spans="4:13" x14ac:dyDescent="0.3">
      <c r="D4" s="16" t="s">
        <v>157</v>
      </c>
      <c r="E4" s="19">
        <v>6.5</v>
      </c>
      <c r="F4" s="6">
        <v>35</v>
      </c>
      <c r="G4" s="6">
        <v>2</v>
      </c>
      <c r="H4" s="6">
        <v>4</v>
      </c>
      <c r="I4" s="6">
        <v>0.1</v>
      </c>
      <c r="J4" s="6">
        <v>0</v>
      </c>
      <c r="K4" s="6">
        <v>1.4999999999999999E-2</v>
      </c>
      <c r="L4" s="6">
        <v>0</v>
      </c>
      <c r="M4" s="6">
        <f>(VLOOKUP(D4,'Precio por alimento'!A:H,8,0))*E4</f>
        <v>277.22222222222223</v>
      </c>
    </row>
    <row r="5" spans="4:13" x14ac:dyDescent="0.3">
      <c r="D5" s="17" t="s">
        <v>65</v>
      </c>
      <c r="E5" s="18">
        <v>50</v>
      </c>
      <c r="F5" s="6">
        <v>63.505747126436788</v>
      </c>
      <c r="G5" s="6">
        <v>1.8103448275862066</v>
      </c>
      <c r="H5" s="6">
        <v>10.804597701149426</v>
      </c>
      <c r="I5" s="6">
        <v>1.4942528735632183</v>
      </c>
      <c r="J5" s="6">
        <v>0</v>
      </c>
      <c r="K5" s="6">
        <v>2.8735632183908046E-2</v>
      </c>
      <c r="L5" s="6">
        <v>35.603448275862071</v>
      </c>
      <c r="M5" s="6">
        <f>(VLOOKUP(D5,'Precio por alimento'!A:H,8,0))*E5</f>
        <v>147.5</v>
      </c>
    </row>
    <row r="6" spans="4:13" x14ac:dyDescent="0.3">
      <c r="D6" s="16" t="s">
        <v>118</v>
      </c>
      <c r="E6" s="19">
        <v>250</v>
      </c>
      <c r="F6" s="6">
        <v>430</v>
      </c>
      <c r="G6" s="6">
        <v>23.250000000000004</v>
      </c>
      <c r="H6" s="6">
        <v>0</v>
      </c>
      <c r="I6" s="6">
        <v>52.25</v>
      </c>
      <c r="J6" s="6">
        <v>0</v>
      </c>
      <c r="K6" s="6">
        <v>0.25</v>
      </c>
      <c r="L6" s="6">
        <v>234.25</v>
      </c>
      <c r="M6" s="6">
        <f>(VLOOKUP(D6,'Precio por alimento'!A:H,8,0))*E6</f>
        <v>4287.5</v>
      </c>
    </row>
    <row r="7" spans="4:13" x14ac:dyDescent="0.3">
      <c r="D7" s="17" t="s">
        <v>36</v>
      </c>
      <c r="E7" s="18">
        <v>100</v>
      </c>
      <c r="F7" s="6">
        <v>41.40625</v>
      </c>
      <c r="G7" s="6">
        <v>0.234375</v>
      </c>
      <c r="H7" s="6">
        <v>6.7968750000000009</v>
      </c>
      <c r="I7" s="6">
        <v>0.9375</v>
      </c>
      <c r="J7" s="6">
        <v>2.8125</v>
      </c>
      <c r="K7" s="6">
        <v>7.8125E-2</v>
      </c>
      <c r="L7" s="6">
        <v>88.28125</v>
      </c>
      <c r="M7" s="6">
        <f>(VLOOKUP(D7,'Precio por alimento'!A:H,8,0))*E7</f>
        <v>291.66666666666663</v>
      </c>
    </row>
    <row r="8" spans="4:13" x14ac:dyDescent="0.3">
      <c r="D8" s="16" t="s">
        <v>60</v>
      </c>
      <c r="E8" s="19">
        <v>100</v>
      </c>
      <c r="F8" s="6">
        <v>18</v>
      </c>
      <c r="G8" s="6">
        <v>0.2</v>
      </c>
      <c r="H8" s="6">
        <v>2.7</v>
      </c>
      <c r="I8" s="6">
        <v>0.90000000000000013</v>
      </c>
      <c r="J8" s="6">
        <v>1.2</v>
      </c>
      <c r="K8" s="6">
        <v>0.5</v>
      </c>
      <c r="L8" s="6">
        <v>93</v>
      </c>
      <c r="M8" s="6">
        <f>(VLOOKUP(D8,'Precio por alimento'!A:H,8,0))*E8</f>
        <v>310</v>
      </c>
    </row>
    <row r="9" spans="4:13" x14ac:dyDescent="0.3">
      <c r="D9" s="17" t="s">
        <v>159</v>
      </c>
      <c r="E9" s="18">
        <v>80</v>
      </c>
      <c r="F9" s="6">
        <v>180</v>
      </c>
      <c r="G9" s="6">
        <v>6</v>
      </c>
      <c r="H9" s="6">
        <v>24</v>
      </c>
      <c r="I9" s="6">
        <v>4</v>
      </c>
      <c r="J9" s="6">
        <v>4</v>
      </c>
      <c r="K9" s="6">
        <v>0.19</v>
      </c>
      <c r="L9" s="6">
        <v>0</v>
      </c>
      <c r="M9" s="6">
        <f>(VLOOKUP(D9,'Precio por alimento'!A:H,8,0))*E9</f>
        <v>420</v>
      </c>
    </row>
    <row r="10" spans="4:13" x14ac:dyDescent="0.3">
      <c r="D10" s="17" t="s">
        <v>172</v>
      </c>
      <c r="E10" s="18">
        <v>230</v>
      </c>
      <c r="F10" s="6">
        <v>451</v>
      </c>
      <c r="G10" s="6">
        <v>34</v>
      </c>
      <c r="H10" s="6">
        <v>2</v>
      </c>
      <c r="I10" s="6">
        <v>31.499999999999996</v>
      </c>
      <c r="J10" s="6">
        <v>0</v>
      </c>
      <c r="K10" s="6">
        <v>0.5</v>
      </c>
      <c r="L10" s="6">
        <v>160</v>
      </c>
      <c r="M10" s="6">
        <f>(VLOOKUP(D10,'Precio por alimento'!A:H,8,0))*E10</f>
        <v>2221.4166666666665</v>
      </c>
    </row>
    <row r="11" spans="4:13" x14ac:dyDescent="0.3">
      <c r="D11" s="16" t="s">
        <v>155</v>
      </c>
      <c r="E11" s="16">
        <v>100</v>
      </c>
      <c r="F11" s="6">
        <v>240</v>
      </c>
      <c r="G11" s="6">
        <v>20</v>
      </c>
      <c r="H11" s="6">
        <v>2</v>
      </c>
      <c r="I11" s="6">
        <v>20</v>
      </c>
      <c r="J11" s="6">
        <v>0</v>
      </c>
      <c r="K11" s="6">
        <v>0.54</v>
      </c>
      <c r="L11" s="6">
        <v>49.2</v>
      </c>
      <c r="M11" s="6">
        <f>(VLOOKUP(D11,'Precio por alimento'!A:H,8,0))*E11</f>
        <v>1747.5000000000002</v>
      </c>
    </row>
    <row r="12" spans="4:13" x14ac:dyDescent="0.3">
      <c r="D12" s="17"/>
      <c r="E12" s="17"/>
      <c r="F12" s="6"/>
      <c r="G12" s="6"/>
      <c r="H12" s="6"/>
      <c r="I12" s="6"/>
      <c r="J12" s="6"/>
      <c r="K12" s="6"/>
      <c r="L12" s="6"/>
      <c r="M12" s="6" t="e">
        <f>(VLOOKUP(D12,'Precio por alimento'!A:H,8,0))*E12</f>
        <v>#N/A</v>
      </c>
    </row>
    <row r="13" spans="4:13" x14ac:dyDescent="0.3">
      <c r="D13" s="16"/>
      <c r="E13" s="16"/>
      <c r="F13" s="6"/>
      <c r="G13" s="6"/>
      <c r="H13" s="6"/>
      <c r="I13" s="6"/>
      <c r="J13" s="6"/>
      <c r="K13" s="6"/>
      <c r="L13" s="6"/>
      <c r="M13" s="6" t="e">
        <f>(VLOOKUP(D13,'Precio por alimento'!A:H,8,0))*E13</f>
        <v>#N/A</v>
      </c>
    </row>
    <row r="14" spans="4:13" x14ac:dyDescent="0.3">
      <c r="D14" s="16"/>
      <c r="E14" s="16"/>
      <c r="F14" s="6"/>
      <c r="G14" s="6"/>
      <c r="H14" s="6"/>
      <c r="I14" s="6"/>
      <c r="J14" s="6"/>
      <c r="K14" s="6"/>
      <c r="L14" s="6"/>
    </row>
    <row r="15" spans="4:13" x14ac:dyDescent="0.3">
      <c r="D15" s="17"/>
      <c r="E15" s="16"/>
      <c r="F15" s="6"/>
      <c r="G15" s="6"/>
      <c r="H15" s="6"/>
      <c r="I15" s="6"/>
      <c r="J15" s="6"/>
      <c r="K15" s="6"/>
      <c r="L15" s="6"/>
    </row>
    <row r="16" spans="4:13" x14ac:dyDescent="0.3">
      <c r="D16" s="16"/>
      <c r="E16" s="16"/>
      <c r="F16" s="6"/>
      <c r="G16" s="6"/>
      <c r="H16" s="6"/>
      <c r="I16" s="6"/>
      <c r="J16" s="6"/>
      <c r="K16" s="6"/>
      <c r="L16" s="6"/>
    </row>
    <row r="17" spans="4:12" x14ac:dyDescent="0.3">
      <c r="D17" s="17"/>
      <c r="E17" s="16"/>
      <c r="F17" s="6"/>
      <c r="G17" s="6"/>
      <c r="H17" s="6"/>
      <c r="I17" s="6"/>
      <c r="J17" s="6"/>
      <c r="K17" s="6"/>
      <c r="L17" s="6"/>
    </row>
    <row r="18" spans="4:12" x14ac:dyDescent="0.3">
      <c r="D18" s="16"/>
      <c r="E18" s="17"/>
      <c r="F18" s="6"/>
      <c r="G18" s="6"/>
      <c r="H18" s="6"/>
      <c r="I18" s="6"/>
      <c r="J18" s="6"/>
      <c r="K18" s="6"/>
      <c r="L18" s="6"/>
    </row>
    <row r="19" spans="4:12" x14ac:dyDescent="0.3">
      <c r="D19" s="17"/>
      <c r="E19" s="16"/>
      <c r="F19" s="6"/>
      <c r="G19" s="6"/>
      <c r="H19" s="6"/>
      <c r="I19" s="6"/>
      <c r="J19" s="6"/>
      <c r="K19" s="6"/>
      <c r="L19" s="6"/>
    </row>
    <row r="20" spans="4:12" x14ac:dyDescent="0.3">
      <c r="D20" s="17"/>
      <c r="E20" s="17"/>
      <c r="F20" s="6"/>
      <c r="G20" s="6"/>
      <c r="H20" s="6"/>
      <c r="I20" s="6"/>
      <c r="J20" s="6"/>
      <c r="K20" s="6"/>
      <c r="L20" s="6"/>
    </row>
    <row r="21" spans="4:12" x14ac:dyDescent="0.3">
      <c r="D21" s="16"/>
      <c r="E21" s="19"/>
      <c r="F21" s="6"/>
      <c r="G21" s="6"/>
      <c r="H21" s="6"/>
      <c r="I21" s="6"/>
      <c r="J21" s="6"/>
      <c r="K21" s="6"/>
      <c r="L21" s="6"/>
    </row>
    <row r="22" spans="4:12" x14ac:dyDescent="0.3">
      <c r="D22" s="17"/>
      <c r="E22" s="18"/>
      <c r="F22" s="6"/>
      <c r="G22" s="6"/>
      <c r="H22" s="6"/>
      <c r="I22" s="6"/>
      <c r="J22" s="6"/>
      <c r="K22" s="6"/>
      <c r="L22" s="6"/>
    </row>
    <row r="23" spans="4:12" x14ac:dyDescent="0.3">
      <c r="D23" s="16"/>
      <c r="E23" s="19"/>
      <c r="F23" s="6"/>
      <c r="G23" s="6"/>
      <c r="H23" s="6"/>
      <c r="I23" s="6"/>
      <c r="J23" s="6"/>
      <c r="K23" s="6"/>
      <c r="L23" s="6"/>
    </row>
    <row r="24" spans="4:12" x14ac:dyDescent="0.3">
      <c r="D24" s="17"/>
      <c r="E24" s="18"/>
      <c r="F24" s="6"/>
      <c r="G24" s="6"/>
      <c r="H24" s="6"/>
      <c r="I24" s="6"/>
      <c r="J24" s="6"/>
      <c r="K24" s="6"/>
      <c r="L24" s="6"/>
    </row>
    <row r="25" spans="4:12" x14ac:dyDescent="0.3">
      <c r="D25" s="16"/>
      <c r="E25" s="19"/>
      <c r="F25" s="6"/>
      <c r="G25" s="6"/>
      <c r="H25" s="6"/>
      <c r="I25" s="6"/>
      <c r="J25" s="6"/>
      <c r="K25" s="6"/>
      <c r="L25" s="6"/>
    </row>
    <row r="26" spans="4:12" x14ac:dyDescent="0.3">
      <c r="D26" s="17"/>
      <c r="E26" s="18"/>
      <c r="F26" s="6"/>
      <c r="G26" s="6"/>
      <c r="H26" s="6"/>
      <c r="I26" s="6"/>
      <c r="J26" s="6"/>
      <c r="K26" s="6"/>
      <c r="L26" s="6"/>
    </row>
    <row r="27" spans="4:12" x14ac:dyDescent="0.3">
      <c r="D27" s="16"/>
      <c r="E27" s="19"/>
      <c r="F27" s="6"/>
      <c r="G27" s="6"/>
      <c r="H27" s="6"/>
      <c r="I27" s="6"/>
      <c r="J27" s="6"/>
      <c r="K27" s="6"/>
      <c r="L27" s="6"/>
    </row>
    <row r="28" spans="4:12" x14ac:dyDescent="0.3">
      <c r="D28" s="17"/>
      <c r="E28" s="17"/>
      <c r="F28" s="6"/>
      <c r="G28" s="6"/>
      <c r="H28" s="6"/>
      <c r="I28" s="6"/>
      <c r="J28" s="6"/>
      <c r="K28" s="6"/>
      <c r="L28" s="6"/>
    </row>
    <row r="29" spans="4:12" x14ac:dyDescent="0.3">
      <c r="D29" s="16"/>
      <c r="E29" s="16"/>
      <c r="F29" s="6"/>
      <c r="G29" s="6"/>
      <c r="H29" s="6"/>
      <c r="I29" s="6"/>
      <c r="J29" s="6"/>
      <c r="K29" s="6"/>
      <c r="L29" s="6"/>
    </row>
    <row r="30" spans="4:12" x14ac:dyDescent="0.3">
      <c r="D30" s="17"/>
      <c r="E30" s="17"/>
      <c r="F30" s="6"/>
      <c r="G30" s="6"/>
      <c r="H30" s="6"/>
      <c r="I30" s="6"/>
      <c r="J30" s="6"/>
      <c r="K30" s="6"/>
      <c r="L30" s="6"/>
    </row>
    <row r="31" spans="4:12" x14ac:dyDescent="0.3">
      <c r="D31" s="16"/>
      <c r="E31" s="16"/>
      <c r="F31" s="6"/>
      <c r="G31" s="6"/>
      <c r="H31" s="6"/>
      <c r="I31" s="6"/>
      <c r="J31" s="6"/>
      <c r="K31" s="6"/>
      <c r="L31" s="6"/>
    </row>
    <row r="32" spans="4:12" x14ac:dyDescent="0.3">
      <c r="D32" s="17"/>
      <c r="E32" s="17"/>
      <c r="F32" s="6"/>
      <c r="G32" s="6"/>
      <c r="H32" s="6"/>
      <c r="I32" s="6"/>
      <c r="J32" s="6"/>
      <c r="K32" s="6"/>
      <c r="L32" s="6"/>
    </row>
    <row r="33" spans="4:12" x14ac:dyDescent="0.3">
      <c r="D33" s="16"/>
      <c r="E33" s="19"/>
      <c r="F33" s="6"/>
      <c r="G33" s="6"/>
      <c r="H33" s="6"/>
      <c r="I33" s="6"/>
      <c r="J33" s="6"/>
      <c r="K33" s="6"/>
      <c r="L33" s="6"/>
    </row>
    <row r="34" spans="4:12" x14ac:dyDescent="0.3">
      <c r="D34" s="17"/>
      <c r="E34" s="18"/>
      <c r="F34" s="6"/>
      <c r="G34" s="6"/>
      <c r="H34" s="6"/>
      <c r="I34" s="6"/>
      <c r="J34" s="6"/>
      <c r="K34" s="6"/>
      <c r="L34" s="6"/>
    </row>
    <row r="35" spans="4:12" x14ac:dyDescent="0.3">
      <c r="D35" s="16"/>
      <c r="E35" s="19"/>
      <c r="F35" s="6"/>
      <c r="G35" s="6"/>
      <c r="H35" s="6"/>
      <c r="I35" s="6"/>
      <c r="J35" s="6"/>
      <c r="K35" s="6"/>
      <c r="L35" s="6"/>
    </row>
    <row r="36" spans="4:12" x14ac:dyDescent="0.3">
      <c r="D36" s="17"/>
      <c r="E36" s="18"/>
      <c r="F36" s="6"/>
      <c r="G36" s="6"/>
      <c r="H36" s="6"/>
      <c r="I36" s="6"/>
      <c r="J36" s="6"/>
      <c r="K36" s="6"/>
      <c r="L36" s="6"/>
    </row>
    <row r="37" spans="4:12" x14ac:dyDescent="0.3">
      <c r="D37" s="16"/>
      <c r="E37" s="16"/>
      <c r="F37" s="6"/>
      <c r="G37" s="6"/>
      <c r="H37" s="6"/>
      <c r="I37" s="6"/>
      <c r="J37" s="6"/>
      <c r="K37" s="6"/>
      <c r="L37" s="6"/>
    </row>
    <row r="38" spans="4:12" x14ac:dyDescent="0.3">
      <c r="D38" s="17"/>
      <c r="E38" s="17"/>
      <c r="F38" s="6"/>
      <c r="G38" s="6"/>
      <c r="H38" s="6"/>
      <c r="I38" s="6"/>
      <c r="J38" s="6"/>
      <c r="K38" s="6"/>
      <c r="L38" s="6"/>
    </row>
    <row r="39" spans="4:12" x14ac:dyDescent="0.3">
      <c r="D39" s="16"/>
      <c r="E39" s="16"/>
      <c r="F39" s="6"/>
      <c r="G39" s="6"/>
      <c r="H39" s="6"/>
      <c r="I39" s="6"/>
      <c r="J39" s="6"/>
      <c r="K39" s="6"/>
      <c r="L39" s="6"/>
    </row>
    <row r="40" spans="4:12" x14ac:dyDescent="0.3">
      <c r="D40" s="17"/>
      <c r="E40" s="17"/>
      <c r="F40" s="6"/>
      <c r="G40" s="6"/>
      <c r="H40" s="6"/>
      <c r="I40" s="6"/>
      <c r="J40" s="6"/>
      <c r="K40" s="6"/>
      <c r="L40" s="6"/>
    </row>
    <row r="41" spans="4:12" x14ac:dyDescent="0.3">
      <c r="D41" s="16"/>
      <c r="E41" s="19"/>
      <c r="F41" s="6"/>
      <c r="G41" s="6"/>
      <c r="H41" s="6"/>
      <c r="I41" s="6"/>
      <c r="J41" s="6"/>
      <c r="K41" s="6"/>
      <c r="L41" s="6"/>
    </row>
    <row r="42" spans="4:12" x14ac:dyDescent="0.3">
      <c r="D42" s="17"/>
      <c r="E42" s="18"/>
      <c r="F42" s="6"/>
      <c r="G42" s="6"/>
      <c r="H42" s="6"/>
      <c r="I42" s="6"/>
      <c r="J42" s="6"/>
      <c r="K42" s="6"/>
      <c r="L42" s="6"/>
    </row>
    <row r="43" spans="4:12" x14ac:dyDescent="0.3">
      <c r="D43" s="16"/>
      <c r="E43" s="19"/>
      <c r="F43" s="6"/>
      <c r="G43" s="6"/>
      <c r="H43" s="6"/>
      <c r="I43" s="6"/>
      <c r="J43" s="6"/>
      <c r="K43" s="6"/>
      <c r="L43" s="6"/>
    </row>
    <row r="44" spans="4:12" x14ac:dyDescent="0.3">
      <c r="D44" s="17"/>
      <c r="E44" s="17"/>
      <c r="F44" s="6"/>
      <c r="G44" s="6"/>
      <c r="H44" s="6"/>
      <c r="I44" s="6"/>
      <c r="J44" s="6"/>
      <c r="K44" s="6"/>
      <c r="L44" s="6"/>
    </row>
    <row r="45" spans="4:12" x14ac:dyDescent="0.3">
      <c r="D45" s="16"/>
      <c r="E45" s="16"/>
      <c r="F45" s="6"/>
      <c r="G45" s="6"/>
      <c r="H45" s="6"/>
      <c r="I45" s="6"/>
      <c r="J45" s="6"/>
      <c r="K45" s="6"/>
      <c r="L45" s="6"/>
    </row>
    <row r="46" spans="4:12" x14ac:dyDescent="0.3">
      <c r="D46" s="17"/>
      <c r="E46" s="17"/>
      <c r="F46" s="6"/>
      <c r="G46" s="6"/>
      <c r="H46" s="6"/>
      <c r="I46" s="6"/>
      <c r="J46" s="6"/>
      <c r="K46" s="6"/>
      <c r="L46" s="6"/>
    </row>
    <row r="47" spans="4:12" x14ac:dyDescent="0.3">
      <c r="D47" s="16"/>
      <c r="E47" s="16"/>
      <c r="F47" s="6"/>
      <c r="G47" s="6"/>
      <c r="H47" s="6"/>
      <c r="I47" s="6"/>
      <c r="J47" s="6"/>
      <c r="K47" s="6"/>
      <c r="L47" s="6"/>
    </row>
    <row r="48" spans="4:12" x14ac:dyDescent="0.3">
      <c r="D48" s="17"/>
      <c r="E48" s="18"/>
      <c r="F48" s="6"/>
      <c r="G48" s="6"/>
      <c r="H48" s="6"/>
      <c r="I48" s="6"/>
      <c r="J48" s="6"/>
      <c r="K48" s="6"/>
      <c r="L48" s="6"/>
    </row>
    <row r="49" spans="4:12" x14ac:dyDescent="0.3">
      <c r="D49" s="16"/>
      <c r="E49" s="19"/>
      <c r="F49" s="6"/>
      <c r="G49" s="6"/>
      <c r="H49" s="6"/>
      <c r="I49" s="6"/>
      <c r="J49" s="6"/>
      <c r="K49" s="6"/>
      <c r="L49" s="6"/>
    </row>
    <row r="50" spans="4:12" x14ac:dyDescent="0.3">
      <c r="D50" s="17"/>
      <c r="E50" s="18"/>
      <c r="F50" s="6"/>
      <c r="G50" s="6"/>
      <c r="H50" s="6"/>
      <c r="I50" s="6"/>
      <c r="J50" s="6"/>
      <c r="K50" s="6"/>
      <c r="L50" s="6"/>
    </row>
    <row r="51" spans="4:12" x14ac:dyDescent="0.3">
      <c r="D51" s="16"/>
      <c r="E51" s="19"/>
      <c r="F51" s="6"/>
      <c r="G51" s="6"/>
      <c r="H51" s="6"/>
      <c r="I51" s="6"/>
      <c r="J51" s="6"/>
      <c r="K51" s="6"/>
      <c r="L51" s="6"/>
    </row>
    <row r="52" spans="4:12" x14ac:dyDescent="0.3">
      <c r="D52" s="17"/>
      <c r="E52" s="18"/>
      <c r="F52" s="6"/>
      <c r="G52" s="6"/>
      <c r="H52" s="6"/>
      <c r="I52" s="6"/>
      <c r="J52" s="6"/>
      <c r="K52" s="6"/>
      <c r="L52" s="6"/>
    </row>
    <row r="53" spans="4:12" x14ac:dyDescent="0.3">
      <c r="D53" s="16"/>
      <c r="E53" s="19"/>
      <c r="F53" s="6"/>
      <c r="G53" s="6"/>
      <c r="H53" s="6"/>
      <c r="I53" s="6"/>
      <c r="J53" s="6"/>
      <c r="K53" s="6"/>
      <c r="L53" s="6"/>
    </row>
    <row r="54" spans="4:12" x14ac:dyDescent="0.3">
      <c r="D54" s="17"/>
      <c r="E54" s="17"/>
      <c r="F54" s="6"/>
      <c r="G54" s="6"/>
      <c r="H54" s="6"/>
      <c r="I54" s="6"/>
      <c r="J54" s="6"/>
      <c r="K54" s="6"/>
      <c r="L54" s="6"/>
    </row>
    <row r="55" spans="4:12" x14ac:dyDescent="0.3">
      <c r="D55" s="16"/>
      <c r="E55" s="16"/>
      <c r="F55" s="6"/>
      <c r="G55" s="6"/>
      <c r="H55" s="6"/>
      <c r="I55" s="6"/>
      <c r="J55" s="6"/>
      <c r="K55" s="6"/>
      <c r="L55" s="6"/>
    </row>
    <row r="56" spans="4:12" x14ac:dyDescent="0.3">
      <c r="D56" s="17"/>
      <c r="E56" s="17"/>
      <c r="F56" s="6"/>
      <c r="G56" s="6"/>
      <c r="H56" s="6"/>
      <c r="I56" s="6"/>
      <c r="J56" s="6"/>
      <c r="K56" s="6"/>
      <c r="L56" s="6"/>
    </row>
    <row r="57" spans="4:12" x14ac:dyDescent="0.3">
      <c r="D57" s="16"/>
      <c r="E57" s="16"/>
      <c r="F57" s="6"/>
      <c r="G57" s="6"/>
      <c r="H57" s="6"/>
      <c r="I57" s="6"/>
      <c r="J57" s="6"/>
      <c r="K57" s="6"/>
      <c r="L57" s="6"/>
    </row>
    <row r="58" spans="4:12" x14ac:dyDescent="0.3">
      <c r="D58" s="17"/>
      <c r="E58" s="18"/>
      <c r="F58" s="6"/>
      <c r="G58" s="6"/>
      <c r="H58" s="6"/>
      <c r="I58" s="6"/>
      <c r="J58" s="6"/>
      <c r="K58" s="6"/>
      <c r="L58" s="6"/>
    </row>
    <row r="59" spans="4:12" x14ac:dyDescent="0.3">
      <c r="D59" s="16"/>
      <c r="E59" s="19"/>
      <c r="F59" s="6"/>
      <c r="G59" s="6"/>
      <c r="H59" s="6"/>
      <c r="I59" s="6"/>
      <c r="J59" s="6"/>
      <c r="K59" s="6"/>
      <c r="L59" s="6"/>
    </row>
    <row r="60" spans="4:12" x14ac:dyDescent="0.3">
      <c r="D60" s="17"/>
      <c r="E60" s="18"/>
      <c r="F60" s="6"/>
      <c r="G60" s="6"/>
      <c r="H60" s="6"/>
      <c r="I60" s="6"/>
      <c r="J60" s="6"/>
      <c r="K60" s="6"/>
      <c r="L60" s="6"/>
    </row>
    <row r="61" spans="4:12" x14ac:dyDescent="0.3">
      <c r="D61" s="16"/>
      <c r="E61" s="19"/>
      <c r="F61" s="6"/>
      <c r="G61" s="6"/>
      <c r="H61" s="6"/>
      <c r="I61" s="6"/>
      <c r="J61" s="6"/>
      <c r="K61" s="6"/>
      <c r="L61" s="6"/>
    </row>
    <row r="62" spans="4:12" x14ac:dyDescent="0.3">
      <c r="D62" s="17"/>
      <c r="E62" s="18"/>
      <c r="F62" s="6"/>
      <c r="G62" s="6"/>
      <c r="H62" s="6"/>
      <c r="I62" s="6"/>
      <c r="J62" s="6"/>
      <c r="K62" s="6"/>
      <c r="L62" s="6"/>
    </row>
    <row r="63" spans="4:12" x14ac:dyDescent="0.3">
      <c r="D63" s="16"/>
      <c r="E63" s="19"/>
      <c r="F63" s="6"/>
      <c r="G63" s="6"/>
      <c r="H63" s="6"/>
      <c r="I63" s="6"/>
      <c r="J63" s="6"/>
      <c r="K63" s="6"/>
      <c r="L63" s="6"/>
    </row>
    <row r="64" spans="4:12" x14ac:dyDescent="0.3">
      <c r="D64" s="17"/>
      <c r="E64" s="18"/>
      <c r="F64" s="6"/>
      <c r="G64" s="6"/>
      <c r="H64" s="6"/>
      <c r="I64" s="6"/>
      <c r="J64" s="6"/>
      <c r="K64" s="6"/>
      <c r="L64" s="6"/>
    </row>
    <row r="65" spans="4:12" x14ac:dyDescent="0.3">
      <c r="D65" s="16"/>
      <c r="E65" s="16"/>
      <c r="F65" s="6"/>
      <c r="G65" s="6"/>
      <c r="H65" s="6"/>
      <c r="I65" s="6"/>
      <c r="J65" s="6"/>
      <c r="K65" s="6"/>
      <c r="L65" s="6"/>
    </row>
    <row r="66" spans="4:12" x14ac:dyDescent="0.3">
      <c r="D66" s="17"/>
      <c r="E66" s="17"/>
      <c r="F66" s="6"/>
      <c r="G66" s="6"/>
      <c r="H66" s="6"/>
      <c r="I66" s="6"/>
      <c r="J66" s="6"/>
      <c r="K66" s="6"/>
      <c r="L66" s="6"/>
    </row>
    <row r="67" spans="4:12" x14ac:dyDescent="0.3">
      <c r="D67" s="16"/>
      <c r="E67" s="16"/>
      <c r="F67" s="6"/>
      <c r="G67" s="6"/>
      <c r="H67" s="6"/>
      <c r="I67" s="6"/>
      <c r="J67" s="6"/>
      <c r="K67" s="6"/>
      <c r="L67" s="6"/>
    </row>
    <row r="68" spans="4:12" x14ac:dyDescent="0.3">
      <c r="D68" s="17"/>
      <c r="E68" s="18"/>
      <c r="F68" s="6"/>
      <c r="G68" s="6"/>
      <c r="H68" s="6"/>
      <c r="I68" s="6"/>
      <c r="J68" s="6"/>
      <c r="K68" s="6"/>
      <c r="L68" s="6"/>
    </row>
    <row r="69" spans="4:12" x14ac:dyDescent="0.3">
      <c r="D69" s="16"/>
      <c r="E69" s="19"/>
      <c r="F69" s="6"/>
      <c r="G69" s="6"/>
      <c r="H69" s="6"/>
      <c r="I69" s="6"/>
      <c r="J69" s="6"/>
      <c r="K69" s="6"/>
      <c r="L69" s="6"/>
    </row>
    <row r="70" spans="4:12" x14ac:dyDescent="0.3">
      <c r="D70" s="17"/>
      <c r="E70" s="18"/>
      <c r="F70" s="6"/>
      <c r="G70" s="6"/>
      <c r="H70" s="6"/>
      <c r="I70" s="6"/>
      <c r="J70" s="6"/>
      <c r="K70" s="6"/>
      <c r="L70" s="6"/>
    </row>
    <row r="71" spans="4:12" x14ac:dyDescent="0.3">
      <c r="D71" s="16"/>
      <c r="E71" s="19"/>
      <c r="F71" s="6"/>
      <c r="G71" s="6"/>
      <c r="H71" s="6"/>
      <c r="I71" s="6"/>
      <c r="J71" s="6"/>
      <c r="K71" s="6"/>
      <c r="L71" s="6"/>
    </row>
    <row r="72" spans="4:12" x14ac:dyDescent="0.3">
      <c r="D72" s="17"/>
      <c r="E72" s="18"/>
      <c r="F72" s="6"/>
      <c r="G72" s="6"/>
      <c r="H72" s="6"/>
      <c r="I72" s="6"/>
      <c r="J72" s="6"/>
      <c r="K72" s="6"/>
      <c r="L72" s="6"/>
    </row>
    <row r="73" spans="4:12" x14ac:dyDescent="0.3">
      <c r="D73" s="16"/>
      <c r="E73" s="19"/>
      <c r="F73" s="6"/>
      <c r="G73" s="6"/>
      <c r="H73" s="6"/>
      <c r="I73" s="6"/>
      <c r="J73" s="6"/>
      <c r="K73" s="6"/>
      <c r="L73" s="6"/>
    </row>
    <row r="74" spans="4:12" x14ac:dyDescent="0.3">
      <c r="D74" s="17"/>
      <c r="E74" s="18"/>
      <c r="F74" s="6"/>
      <c r="G74" s="6"/>
      <c r="H74" s="6"/>
      <c r="I74" s="6"/>
      <c r="J74" s="6"/>
      <c r="K74" s="6"/>
      <c r="L74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ComidaSaludable">
                <anchor moveWithCells="1" sizeWithCells="1">
                  <from>
                    <xdr:col>0</xdr:col>
                    <xdr:colOff>152400</xdr:colOff>
                    <xdr:row>2</xdr:row>
                    <xdr:rowOff>121920</xdr:rowOff>
                  </from>
                  <to>
                    <xdr:col>2</xdr:col>
                    <xdr:colOff>563880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ThisWorkbook.BorrarContenido">
                <anchor moveWithCells="1" sizeWithCells="1">
                  <from>
                    <xdr:col>0</xdr:col>
                    <xdr:colOff>236220</xdr:colOff>
                    <xdr:row>13</xdr:row>
                    <xdr:rowOff>68580</xdr:rowOff>
                  </from>
                  <to>
                    <xdr:col>2</xdr:col>
                    <xdr:colOff>556260</xdr:colOff>
                    <xdr:row>20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905233-A39F-4332-B65D-0B9414E5F588}">
          <x14:formula1>
            <xm:f>'Comidas individuales'!$A$2:$A$60</xm:f>
          </x14:formula1>
          <xm:sqref>D75:D1048576</xm:sqref>
        </x14:dataValidation>
        <x14:dataValidation type="list" allowBlank="1" showInputMessage="1" showErrorMessage="1" xr:uid="{1C302AFF-D576-47B8-891E-2141B4849963}">
          <x14:formula1>
            <xm:f>'Comidas individuales'!$A$2:$A$275</xm:f>
          </x14:formula1>
          <xm:sqref>D2:D74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0D611-EA6F-453E-BB77-9AF0C5D0AC0D}">
  <sheetPr codeName="Hoja5"/>
  <dimension ref="A1:J5"/>
  <sheetViews>
    <sheetView zoomScale="115" zoomScaleNormal="115" workbookViewId="0">
      <selection activeCell="A2" sqref="A2"/>
    </sheetView>
  </sheetViews>
  <sheetFormatPr defaultColWidth="11.5546875" defaultRowHeight="14.4" x14ac:dyDescent="0.3"/>
  <cols>
    <col min="2" max="2" width="14.88671875" customWidth="1"/>
    <col min="3" max="3" width="25.109375" customWidth="1"/>
  </cols>
  <sheetData>
    <row r="1" spans="1:10" x14ac:dyDescent="0.3">
      <c r="A1" t="s">
        <v>139</v>
      </c>
      <c r="B1" t="s">
        <v>140</v>
      </c>
      <c r="C1" t="s">
        <v>141</v>
      </c>
      <c r="D1" t="s">
        <v>1</v>
      </c>
      <c r="E1" t="s">
        <v>2</v>
      </c>
      <c r="F1" t="s">
        <v>4</v>
      </c>
      <c r="G1" t="s">
        <v>3</v>
      </c>
      <c r="H1" t="s">
        <v>14</v>
      </c>
      <c r="I1" t="s">
        <v>5</v>
      </c>
      <c r="J1" t="s">
        <v>6</v>
      </c>
    </row>
    <row r="2" spans="1:10" x14ac:dyDescent="0.3">
      <c r="A2" s="12">
        <v>44550</v>
      </c>
      <c r="B2" s="12" t="s">
        <v>79</v>
      </c>
      <c r="C2" t="s">
        <v>45</v>
      </c>
      <c r="D2">
        <v>50</v>
      </c>
      <c r="E2" s="6">
        <v>77.5</v>
      </c>
      <c r="F2" s="6">
        <v>5.3333333333333339</v>
      </c>
      <c r="G2" s="6">
        <v>0.58333333333333326</v>
      </c>
      <c r="H2" s="6">
        <v>6.25</v>
      </c>
      <c r="I2" s="6">
        <v>0</v>
      </c>
      <c r="J2" s="6">
        <v>8.3333333333333343E-2</v>
      </c>
    </row>
    <row r="3" spans="1:10" x14ac:dyDescent="0.3">
      <c r="A3" s="12">
        <v>44550</v>
      </c>
      <c r="B3" s="12" t="s">
        <v>79</v>
      </c>
      <c r="C3" t="s">
        <v>39</v>
      </c>
      <c r="D3">
        <v>117</v>
      </c>
      <c r="E3" s="6">
        <v>53.625</v>
      </c>
      <c r="F3" s="6">
        <v>1.70625</v>
      </c>
      <c r="G3" s="6">
        <v>5.8500000000000005</v>
      </c>
      <c r="H3" s="6">
        <v>3.9</v>
      </c>
      <c r="I3" s="6">
        <v>0</v>
      </c>
      <c r="J3" s="6">
        <v>6.581250000000001E-2</v>
      </c>
    </row>
    <row r="4" spans="1:10" x14ac:dyDescent="0.3">
      <c r="A4" s="12">
        <v>44550</v>
      </c>
      <c r="B4" s="12" t="s">
        <v>79</v>
      </c>
      <c r="C4" t="s">
        <v>49</v>
      </c>
      <c r="D4">
        <v>22.5</v>
      </c>
      <c r="E4" s="6">
        <v>55.000000000000007</v>
      </c>
      <c r="F4" s="6">
        <v>0.75</v>
      </c>
      <c r="G4" s="6">
        <v>9.5</v>
      </c>
      <c r="H4" s="6">
        <v>2</v>
      </c>
      <c r="I4" s="6">
        <v>0.5</v>
      </c>
      <c r="J4" s="6">
        <v>0.11</v>
      </c>
    </row>
    <row r="5" spans="1:10" x14ac:dyDescent="0.3">
      <c r="A5" s="12">
        <v>44550</v>
      </c>
      <c r="B5" s="12" t="s">
        <v>79</v>
      </c>
      <c r="C5" t="s">
        <v>169</v>
      </c>
      <c r="D5">
        <v>23</v>
      </c>
      <c r="E5" s="6">
        <v>55.199999999999996</v>
      </c>
      <c r="F5" s="6">
        <v>4.6000000000000005</v>
      </c>
      <c r="G5" s="6">
        <v>0.46</v>
      </c>
      <c r="H5" s="6">
        <v>4.6000000000000005</v>
      </c>
      <c r="I5" s="6">
        <v>0</v>
      </c>
      <c r="J5" s="6">
        <v>0.1242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4946D10-7DDE-4162-BCE0-93513261EE45}">
          <x14:formula1>
            <xm:f>'Comidas individuales'!$A$2:$A$58</xm:f>
          </x14:formula1>
          <xm:sqref>C1286:C2804</xm:sqref>
        </x14:dataValidation>
        <x14:dataValidation type="list" allowBlank="1" showInputMessage="1" showErrorMessage="1" xr:uid="{407C2F40-B490-4538-B9F9-A3D884D18891}">
          <x14:formula1>
            <xm:f>'Comidas individuales'!$A$2:$A$59</xm:f>
          </x14:formula1>
          <xm:sqref>C1258:C1285</xm:sqref>
        </x14:dataValidation>
        <x14:dataValidation type="list" allowBlank="1" showInputMessage="1" showErrorMessage="1" xr:uid="{E9EE58A0-4CF9-4B09-BDB2-33558C32156B}">
          <x14:formula1>
            <xm:f>'Comidas individuales'!$A$2:$A$275</xm:f>
          </x14:formula1>
          <xm:sqref>C2:C1257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8" tint="0.59999389629810485"/>
  </sheetPr>
  <dimension ref="A1:S70"/>
  <sheetViews>
    <sheetView zoomScaleNormal="100" workbookViewId="0">
      <pane ySplit="1" topLeftCell="A2" activePane="bottomLeft" state="frozen"/>
      <selection pane="bottomLeft" activeCell="A32" sqref="A32"/>
    </sheetView>
  </sheetViews>
  <sheetFormatPr defaultColWidth="11.5546875" defaultRowHeight="14.4" x14ac:dyDescent="0.3"/>
  <cols>
    <col min="1" max="1" width="25.5546875" bestFit="1" customWidth="1"/>
    <col min="2" max="2" width="18.33203125" customWidth="1"/>
    <col min="3" max="3" width="15.44140625" customWidth="1"/>
    <col min="4" max="4" width="8.6640625" customWidth="1"/>
    <col min="5" max="5" width="6.88671875" customWidth="1"/>
    <col min="6" max="6" width="13.88671875" customWidth="1"/>
    <col min="7" max="7" width="19.33203125" customWidth="1"/>
    <col min="8" max="8" width="9.109375" customWidth="1"/>
    <col min="9" max="9" width="6.33203125" customWidth="1"/>
    <col min="10" max="10" width="6.6640625" customWidth="1"/>
    <col min="11" max="11" width="7" customWidth="1"/>
    <col min="12" max="12" width="17.88671875" customWidth="1"/>
    <col min="13" max="13" width="16" customWidth="1"/>
    <col min="14" max="14" width="16.109375" customWidth="1"/>
    <col min="15" max="15" width="15.88671875" customWidth="1"/>
    <col min="16" max="16" width="15.44140625" customWidth="1"/>
    <col min="17" max="17" width="15.88671875" customWidth="1"/>
    <col min="18" max="18" width="15.44140625" customWidth="1"/>
  </cols>
  <sheetData>
    <row r="1" spans="1:19" x14ac:dyDescent="0.3">
      <c r="A1" t="s">
        <v>10</v>
      </c>
      <c r="B1" t="s">
        <v>137</v>
      </c>
      <c r="C1" t="s">
        <v>11</v>
      </c>
      <c r="D1" t="s">
        <v>2</v>
      </c>
      <c r="E1" t="s">
        <v>4</v>
      </c>
      <c r="F1" t="s">
        <v>12</v>
      </c>
      <c r="G1" t="s">
        <v>13</v>
      </c>
      <c r="H1" t="s">
        <v>14</v>
      </c>
      <c r="I1" t="s">
        <v>5</v>
      </c>
      <c r="J1" t="s">
        <v>6</v>
      </c>
      <c r="K1" t="s">
        <v>7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174</v>
      </c>
    </row>
    <row r="2" spans="1:19" x14ac:dyDescent="0.3">
      <c r="A2" s="2" t="s">
        <v>70</v>
      </c>
      <c r="B2" s="2"/>
      <c r="C2">
        <v>15</v>
      </c>
      <c r="D2">
        <v>130</v>
      </c>
      <c r="E2">
        <v>14</v>
      </c>
      <c r="F2">
        <v>0</v>
      </c>
      <c r="G2" s="3">
        <f t="shared" ref="G2:G33" si="0">F2-I2</f>
        <v>0</v>
      </c>
      <c r="H2">
        <v>0</v>
      </c>
      <c r="I2">
        <v>0</v>
      </c>
      <c r="J2">
        <v>0</v>
      </c>
      <c r="K2">
        <v>0</v>
      </c>
      <c r="L2" s="4">
        <f t="shared" ref="L2:L33" si="1">D2/C2</f>
        <v>8.6666666666666661</v>
      </c>
      <c r="M2" s="4">
        <f t="shared" ref="M2:M33" si="2">E2/C2</f>
        <v>0.93333333333333335</v>
      </c>
      <c r="N2" s="4">
        <f t="shared" ref="N2:N33" si="3">G2/C2</f>
        <v>0</v>
      </c>
      <c r="O2" s="4">
        <f t="shared" ref="O2:O33" si="4">H2/C2</f>
        <v>0</v>
      </c>
      <c r="P2" s="4">
        <f t="shared" ref="P2:P33" si="5">I2/C2</f>
        <v>0</v>
      </c>
      <c r="Q2" s="4">
        <f t="shared" ref="Q2:Q33" si="6">J2/C2</f>
        <v>0</v>
      </c>
      <c r="R2" s="4">
        <f t="shared" ref="R2:R33" si="7">K2/C2</f>
        <v>0</v>
      </c>
      <c r="S2" s="22"/>
    </row>
    <row r="3" spans="1:19" x14ac:dyDescent="0.3">
      <c r="A3" s="2" t="s">
        <v>54</v>
      </c>
      <c r="B3" s="2"/>
      <c r="C3">
        <v>10</v>
      </c>
      <c r="D3">
        <v>80</v>
      </c>
      <c r="E3">
        <v>9</v>
      </c>
      <c r="F3">
        <v>0</v>
      </c>
      <c r="G3" s="3">
        <f t="shared" si="0"/>
        <v>0</v>
      </c>
      <c r="H3">
        <v>0</v>
      </c>
      <c r="I3">
        <v>0</v>
      </c>
      <c r="J3">
        <v>0</v>
      </c>
      <c r="K3">
        <v>0</v>
      </c>
      <c r="L3" s="4">
        <f t="shared" si="1"/>
        <v>8</v>
      </c>
      <c r="M3" s="4">
        <f t="shared" si="2"/>
        <v>0.9</v>
      </c>
      <c r="N3" s="4">
        <f t="shared" si="3"/>
        <v>0</v>
      </c>
      <c r="O3" s="4">
        <f t="shared" si="4"/>
        <v>0</v>
      </c>
      <c r="P3" s="4">
        <f t="shared" si="5"/>
        <v>0</v>
      </c>
      <c r="Q3" s="4">
        <f t="shared" si="6"/>
        <v>0</v>
      </c>
      <c r="R3" s="4">
        <f t="shared" si="7"/>
        <v>0</v>
      </c>
      <c r="S3" s="22"/>
    </row>
    <row r="4" spans="1:19" x14ac:dyDescent="0.3">
      <c r="A4" s="2" t="s">
        <v>27</v>
      </c>
      <c r="B4" s="2"/>
      <c r="C4">
        <v>135</v>
      </c>
      <c r="D4">
        <v>216</v>
      </c>
      <c r="E4">
        <v>19.8</v>
      </c>
      <c r="F4">
        <v>11.5</v>
      </c>
      <c r="G4" s="3">
        <f t="shared" si="0"/>
        <v>2.5</v>
      </c>
      <c r="H4">
        <v>2.7</v>
      </c>
      <c r="I4">
        <v>9</v>
      </c>
      <c r="J4">
        <v>0.1</v>
      </c>
      <c r="K4">
        <v>98.9</v>
      </c>
      <c r="L4" s="4">
        <f t="shared" si="1"/>
        <v>1.6</v>
      </c>
      <c r="M4" s="4">
        <f t="shared" si="2"/>
        <v>0.14666666666666667</v>
      </c>
      <c r="N4" s="4">
        <f t="shared" si="3"/>
        <v>1.8518518518518517E-2</v>
      </c>
      <c r="O4" s="4">
        <f t="shared" si="4"/>
        <v>0.02</v>
      </c>
      <c r="P4" s="4">
        <f t="shared" si="5"/>
        <v>6.6666666666666666E-2</v>
      </c>
      <c r="Q4" s="4">
        <f t="shared" si="6"/>
        <v>7.4074074074074081E-4</v>
      </c>
      <c r="R4" s="4">
        <f t="shared" si="7"/>
        <v>0.73259259259259268</v>
      </c>
      <c r="S4" s="22"/>
    </row>
    <row r="5" spans="1:19" x14ac:dyDescent="0.3">
      <c r="A5" s="2" t="s">
        <v>159</v>
      </c>
      <c r="B5" s="2" t="s">
        <v>132</v>
      </c>
      <c r="C5">
        <v>80</v>
      </c>
      <c r="D5">
        <v>180</v>
      </c>
      <c r="E5">
        <v>6</v>
      </c>
      <c r="F5">
        <v>28</v>
      </c>
      <c r="G5" s="3">
        <f t="shared" si="0"/>
        <v>24</v>
      </c>
      <c r="H5">
        <v>4</v>
      </c>
      <c r="I5">
        <v>4</v>
      </c>
      <c r="J5">
        <v>0.19</v>
      </c>
      <c r="K5">
        <v>0</v>
      </c>
      <c r="L5" s="4">
        <f t="shared" si="1"/>
        <v>2.25</v>
      </c>
      <c r="M5" s="4">
        <f t="shared" si="2"/>
        <v>7.4999999999999997E-2</v>
      </c>
      <c r="N5" s="4">
        <f t="shared" si="3"/>
        <v>0.3</v>
      </c>
      <c r="O5" s="4">
        <f t="shared" si="4"/>
        <v>0.05</v>
      </c>
      <c r="P5" s="4">
        <f t="shared" si="5"/>
        <v>0.05</v>
      </c>
      <c r="Q5" s="4">
        <f t="shared" si="6"/>
        <v>2.3749999999999999E-3</v>
      </c>
      <c r="R5" s="4">
        <f t="shared" si="7"/>
        <v>0</v>
      </c>
      <c r="S5" s="22">
        <v>1.25</v>
      </c>
    </row>
    <row r="6" spans="1:19" x14ac:dyDescent="0.3">
      <c r="A6" s="2" t="s">
        <v>40</v>
      </c>
      <c r="B6" s="2" t="s">
        <v>132</v>
      </c>
      <c r="C6">
        <v>50</v>
      </c>
      <c r="D6">
        <v>180</v>
      </c>
      <c r="E6">
        <v>0</v>
      </c>
      <c r="F6">
        <v>39</v>
      </c>
      <c r="G6" s="3">
        <f t="shared" si="0"/>
        <v>37</v>
      </c>
      <c r="H6">
        <v>4</v>
      </c>
      <c r="I6">
        <v>2</v>
      </c>
      <c r="J6">
        <v>0</v>
      </c>
      <c r="K6">
        <v>68.400000000000006</v>
      </c>
      <c r="L6" s="4">
        <f t="shared" si="1"/>
        <v>3.6</v>
      </c>
      <c r="M6" s="4">
        <f t="shared" si="2"/>
        <v>0</v>
      </c>
      <c r="N6" s="4">
        <f t="shared" si="3"/>
        <v>0.74</v>
      </c>
      <c r="O6" s="4">
        <f t="shared" si="4"/>
        <v>0.08</v>
      </c>
      <c r="P6" s="4">
        <f t="shared" si="5"/>
        <v>0.04</v>
      </c>
      <c r="Q6" s="4">
        <f t="shared" si="6"/>
        <v>0</v>
      </c>
      <c r="R6" s="4">
        <f t="shared" si="7"/>
        <v>1.3680000000000001</v>
      </c>
      <c r="S6" s="22">
        <v>1.38</v>
      </c>
    </row>
    <row r="7" spans="1:19" x14ac:dyDescent="0.3">
      <c r="A7" s="2" t="s">
        <v>47</v>
      </c>
      <c r="B7" s="2"/>
      <c r="C7">
        <v>60</v>
      </c>
      <c r="D7">
        <v>190</v>
      </c>
      <c r="E7">
        <v>1</v>
      </c>
      <c r="F7">
        <v>33</v>
      </c>
      <c r="G7" s="3">
        <f t="shared" si="0"/>
        <v>24</v>
      </c>
      <c r="H7">
        <v>14</v>
      </c>
      <c r="I7">
        <v>9</v>
      </c>
      <c r="J7">
        <v>2.5000000000000001E-2</v>
      </c>
      <c r="K7">
        <v>124.6</v>
      </c>
      <c r="L7" s="4">
        <f t="shared" si="1"/>
        <v>3.1666666666666665</v>
      </c>
      <c r="M7" s="4">
        <f t="shared" si="2"/>
        <v>1.6666666666666666E-2</v>
      </c>
      <c r="N7" s="4">
        <f t="shared" si="3"/>
        <v>0.4</v>
      </c>
      <c r="O7" s="4">
        <f t="shared" si="4"/>
        <v>0.23333333333333334</v>
      </c>
      <c r="P7" s="4">
        <f t="shared" si="5"/>
        <v>0.15</v>
      </c>
      <c r="Q7" s="4">
        <f t="shared" si="6"/>
        <v>4.1666666666666669E-4</v>
      </c>
      <c r="R7" s="4">
        <f t="shared" si="7"/>
        <v>2.0766666666666667</v>
      </c>
      <c r="S7" s="22"/>
    </row>
    <row r="8" spans="1:19" x14ac:dyDescent="0.3">
      <c r="A8" s="2" t="s">
        <v>56</v>
      </c>
      <c r="B8" s="2" t="s">
        <v>132</v>
      </c>
      <c r="C8">
        <v>60</v>
      </c>
      <c r="D8">
        <v>70</v>
      </c>
      <c r="E8">
        <v>1</v>
      </c>
      <c r="F8">
        <v>0</v>
      </c>
      <c r="G8" s="3">
        <f t="shared" si="0"/>
        <v>0</v>
      </c>
      <c r="H8">
        <v>15</v>
      </c>
      <c r="I8">
        <v>0</v>
      </c>
      <c r="J8">
        <v>0.3</v>
      </c>
      <c r="K8">
        <v>58.6</v>
      </c>
      <c r="L8" s="4">
        <f t="shared" si="1"/>
        <v>1.1666666666666667</v>
      </c>
      <c r="M8" s="4">
        <f t="shared" si="2"/>
        <v>1.6666666666666666E-2</v>
      </c>
      <c r="N8" s="4">
        <f t="shared" si="3"/>
        <v>0</v>
      </c>
      <c r="O8" s="4">
        <f t="shared" si="4"/>
        <v>0.25</v>
      </c>
      <c r="P8" s="4">
        <f t="shared" si="5"/>
        <v>0</v>
      </c>
      <c r="Q8" s="4">
        <f t="shared" si="6"/>
        <v>5.0000000000000001E-3</v>
      </c>
      <c r="R8" s="4">
        <f t="shared" si="7"/>
        <v>0.97666666666666668</v>
      </c>
      <c r="S8" s="22">
        <v>1.3</v>
      </c>
    </row>
    <row r="9" spans="1:19" x14ac:dyDescent="0.3">
      <c r="A9" s="2" t="s">
        <v>142</v>
      </c>
      <c r="B9" s="2" t="s">
        <v>113</v>
      </c>
      <c r="C9">
        <v>100</v>
      </c>
      <c r="D9">
        <v>389</v>
      </c>
      <c r="E9">
        <v>6.9</v>
      </c>
      <c r="F9">
        <v>66.3</v>
      </c>
      <c r="G9" s="3">
        <f t="shared" si="0"/>
        <v>55.699999999999996</v>
      </c>
      <c r="H9">
        <v>16.899999999999999</v>
      </c>
      <c r="I9">
        <v>10.6</v>
      </c>
      <c r="J9">
        <v>0.1</v>
      </c>
      <c r="K9">
        <v>8.1999999999999993</v>
      </c>
      <c r="L9" s="4">
        <f t="shared" si="1"/>
        <v>3.89</v>
      </c>
      <c r="M9" s="4">
        <f t="shared" si="2"/>
        <v>6.9000000000000006E-2</v>
      </c>
      <c r="N9" s="4">
        <f t="shared" si="3"/>
        <v>0.55699999999999994</v>
      </c>
      <c r="O9" s="4">
        <f t="shared" si="4"/>
        <v>0.16899999999999998</v>
      </c>
      <c r="P9" s="4">
        <f t="shared" si="5"/>
        <v>0.106</v>
      </c>
      <c r="Q9" s="4">
        <f t="shared" si="6"/>
        <v>1E-3</v>
      </c>
      <c r="R9" s="4">
        <f t="shared" si="7"/>
        <v>8.199999999999999E-2</v>
      </c>
      <c r="S9" s="22"/>
    </row>
    <row r="10" spans="1:19" x14ac:dyDescent="0.3">
      <c r="A10" t="s">
        <v>9</v>
      </c>
      <c r="C10">
        <v>150</v>
      </c>
      <c r="D10">
        <v>134</v>
      </c>
      <c r="E10">
        <v>0.5</v>
      </c>
      <c r="F10">
        <v>34.299999999999997</v>
      </c>
      <c r="G10" s="3">
        <f t="shared" si="0"/>
        <v>30.4</v>
      </c>
      <c r="H10">
        <v>1.6</v>
      </c>
      <c r="I10">
        <v>3.9</v>
      </c>
      <c r="J10">
        <v>0.1</v>
      </c>
      <c r="K10">
        <v>112.4</v>
      </c>
      <c r="L10" s="4">
        <f t="shared" si="1"/>
        <v>0.89333333333333331</v>
      </c>
      <c r="M10" s="4">
        <f t="shared" si="2"/>
        <v>3.3333333333333335E-3</v>
      </c>
      <c r="N10" s="4">
        <f t="shared" si="3"/>
        <v>0.20266666666666666</v>
      </c>
      <c r="O10" s="4">
        <f t="shared" si="4"/>
        <v>1.0666666666666668E-2</v>
      </c>
      <c r="P10" s="4">
        <f t="shared" si="5"/>
        <v>2.5999999999999999E-2</v>
      </c>
      <c r="Q10" s="4">
        <f t="shared" si="6"/>
        <v>6.6666666666666675E-4</v>
      </c>
      <c r="R10" s="4">
        <f t="shared" si="7"/>
        <v>0.74933333333333341</v>
      </c>
      <c r="S10" s="22"/>
    </row>
    <row r="11" spans="1:19" x14ac:dyDescent="0.3">
      <c r="A11" s="2" t="s">
        <v>157</v>
      </c>
      <c r="B11" s="2" t="s">
        <v>132</v>
      </c>
      <c r="C11">
        <v>6.5</v>
      </c>
      <c r="D11">
        <v>35</v>
      </c>
      <c r="E11">
        <v>2</v>
      </c>
      <c r="F11">
        <v>4</v>
      </c>
      <c r="G11" s="3">
        <f t="shared" si="0"/>
        <v>4</v>
      </c>
      <c r="H11">
        <v>0.1</v>
      </c>
      <c r="I11">
        <v>0</v>
      </c>
      <c r="J11">
        <v>1.4999999999999999E-2</v>
      </c>
      <c r="K11">
        <v>0</v>
      </c>
      <c r="L11" s="4">
        <f t="shared" si="1"/>
        <v>5.384615384615385</v>
      </c>
      <c r="M11" s="4">
        <f t="shared" si="2"/>
        <v>0.30769230769230771</v>
      </c>
      <c r="N11" s="4">
        <f t="shared" si="3"/>
        <v>0.61538461538461542</v>
      </c>
      <c r="O11" s="4">
        <f t="shared" si="4"/>
        <v>1.5384615384615385E-2</v>
      </c>
      <c r="P11" s="4">
        <f t="shared" si="5"/>
        <v>0</v>
      </c>
      <c r="Q11" s="4">
        <f t="shared" si="6"/>
        <v>2.3076923076923075E-3</v>
      </c>
      <c r="R11" s="4">
        <f t="shared" si="7"/>
        <v>0</v>
      </c>
      <c r="S11" s="22">
        <v>1.2</v>
      </c>
    </row>
    <row r="12" spans="1:19" x14ac:dyDescent="0.3">
      <c r="A12" s="2" t="s">
        <v>63</v>
      </c>
      <c r="B12" s="2"/>
      <c r="C12">
        <v>100</v>
      </c>
      <c r="D12">
        <v>340</v>
      </c>
      <c r="E12">
        <v>1</v>
      </c>
      <c r="F12">
        <v>83</v>
      </c>
      <c r="G12" s="3">
        <f t="shared" si="0"/>
        <v>83</v>
      </c>
      <c r="H12">
        <v>0</v>
      </c>
      <c r="I12">
        <v>0</v>
      </c>
      <c r="J12">
        <v>0</v>
      </c>
      <c r="K12">
        <v>0</v>
      </c>
      <c r="L12" s="4">
        <f t="shared" si="1"/>
        <v>3.4</v>
      </c>
      <c r="M12" s="4">
        <f t="shared" si="2"/>
        <v>0.01</v>
      </c>
      <c r="N12" s="4">
        <f t="shared" si="3"/>
        <v>0.83</v>
      </c>
      <c r="O12" s="4">
        <f t="shared" si="4"/>
        <v>0</v>
      </c>
      <c r="P12" s="4">
        <f t="shared" si="5"/>
        <v>0</v>
      </c>
      <c r="Q12" s="4">
        <f t="shared" si="6"/>
        <v>0</v>
      </c>
      <c r="R12" s="4">
        <f t="shared" si="7"/>
        <v>0</v>
      </c>
      <c r="S12" s="22">
        <v>0.7</v>
      </c>
    </row>
    <row r="13" spans="1:19" x14ac:dyDescent="0.3">
      <c r="A13" s="2" t="s">
        <v>52</v>
      </c>
      <c r="B13" s="2"/>
      <c r="C13">
        <v>70</v>
      </c>
      <c r="D13">
        <v>25</v>
      </c>
      <c r="E13">
        <v>0.3</v>
      </c>
      <c r="F13">
        <v>5</v>
      </c>
      <c r="G13" s="3">
        <f t="shared" si="0"/>
        <v>2.7</v>
      </c>
      <c r="H13">
        <v>1.7</v>
      </c>
      <c r="I13">
        <v>2.2999999999999998</v>
      </c>
      <c r="J13">
        <v>0.2</v>
      </c>
      <c r="K13">
        <v>62.5</v>
      </c>
      <c r="L13" s="4">
        <f t="shared" si="1"/>
        <v>0.35714285714285715</v>
      </c>
      <c r="M13" s="4">
        <f t="shared" si="2"/>
        <v>4.2857142857142859E-3</v>
      </c>
      <c r="N13" s="4">
        <f t="shared" si="3"/>
        <v>3.8571428571428576E-2</v>
      </c>
      <c r="O13" s="4">
        <f t="shared" si="4"/>
        <v>2.4285714285714285E-2</v>
      </c>
      <c r="P13" s="4">
        <f t="shared" si="5"/>
        <v>3.2857142857142856E-2</v>
      </c>
      <c r="Q13" s="4">
        <f t="shared" si="6"/>
        <v>2.8571428571428571E-3</v>
      </c>
      <c r="R13" s="4">
        <f t="shared" si="7"/>
        <v>0.8928571428571429</v>
      </c>
      <c r="S13" s="22">
        <v>0.4</v>
      </c>
    </row>
    <row r="14" spans="1:19" x14ac:dyDescent="0.3">
      <c r="A14" s="2" t="s">
        <v>29</v>
      </c>
      <c r="B14" s="2"/>
      <c r="C14">
        <v>313</v>
      </c>
      <c r="D14">
        <v>930</v>
      </c>
      <c r="E14">
        <v>65</v>
      </c>
      <c r="F14">
        <v>0</v>
      </c>
      <c r="G14" s="3">
        <f t="shared" si="0"/>
        <v>0</v>
      </c>
      <c r="H14">
        <v>80.400000000000006</v>
      </c>
      <c r="I14">
        <v>0</v>
      </c>
      <c r="J14">
        <v>0.2</v>
      </c>
      <c r="K14">
        <v>165.1</v>
      </c>
      <c r="L14" s="4">
        <f t="shared" si="1"/>
        <v>2.9712460063897765</v>
      </c>
      <c r="M14" s="4">
        <f t="shared" si="2"/>
        <v>0.20766773162939298</v>
      </c>
      <c r="N14" s="4">
        <f t="shared" si="3"/>
        <v>0</v>
      </c>
      <c r="O14" s="4">
        <f t="shared" si="4"/>
        <v>0.25686900958466458</v>
      </c>
      <c r="P14" s="4">
        <f t="shared" si="5"/>
        <v>0</v>
      </c>
      <c r="Q14" s="4">
        <f t="shared" si="6"/>
        <v>6.3897763578274762E-4</v>
      </c>
      <c r="R14" s="4">
        <f t="shared" si="7"/>
        <v>0.52747603833865808</v>
      </c>
      <c r="S14" s="22"/>
    </row>
    <row r="15" spans="1:19" x14ac:dyDescent="0.3">
      <c r="A15" s="2" t="s">
        <v>61</v>
      </c>
      <c r="B15" s="2"/>
      <c r="C15">
        <v>50</v>
      </c>
      <c r="D15">
        <v>170</v>
      </c>
      <c r="E15">
        <v>0.5</v>
      </c>
      <c r="F15">
        <v>17</v>
      </c>
      <c r="G15" s="3">
        <f t="shared" si="0"/>
        <v>1</v>
      </c>
      <c r="H15">
        <v>25</v>
      </c>
      <c r="I15">
        <v>16</v>
      </c>
      <c r="J15">
        <v>0</v>
      </c>
      <c r="L15" s="4">
        <f t="shared" si="1"/>
        <v>3.4</v>
      </c>
      <c r="M15" s="4">
        <f t="shared" si="2"/>
        <v>0.01</v>
      </c>
      <c r="N15" s="4">
        <f t="shared" si="3"/>
        <v>0.02</v>
      </c>
      <c r="O15" s="4">
        <f t="shared" si="4"/>
        <v>0.5</v>
      </c>
      <c r="P15" s="4">
        <f t="shared" si="5"/>
        <v>0.32</v>
      </c>
      <c r="Q15" s="4">
        <f t="shared" si="6"/>
        <v>0</v>
      </c>
      <c r="R15" s="4">
        <f t="shared" si="7"/>
        <v>0</v>
      </c>
      <c r="S15" s="22"/>
    </row>
    <row r="16" spans="1:19" x14ac:dyDescent="0.3">
      <c r="A16" s="2" t="s">
        <v>143</v>
      </c>
      <c r="B16" s="2" t="s">
        <v>113</v>
      </c>
      <c r="C16">
        <v>100</v>
      </c>
      <c r="D16">
        <v>22</v>
      </c>
      <c r="E16">
        <v>0.3</v>
      </c>
      <c r="F16">
        <v>3.3</v>
      </c>
      <c r="G16" s="3">
        <f t="shared" si="0"/>
        <v>2.2999999999999998</v>
      </c>
      <c r="H16">
        <v>3.1</v>
      </c>
      <c r="I16">
        <v>1</v>
      </c>
      <c r="J16">
        <v>0.1</v>
      </c>
      <c r="K16">
        <v>92.5</v>
      </c>
      <c r="L16" s="4">
        <f t="shared" si="1"/>
        <v>0.22</v>
      </c>
      <c r="M16" s="4">
        <f t="shared" si="2"/>
        <v>3.0000000000000001E-3</v>
      </c>
      <c r="N16" s="4">
        <f t="shared" si="3"/>
        <v>2.3E-2</v>
      </c>
      <c r="O16" s="4">
        <f t="shared" si="4"/>
        <v>3.1E-2</v>
      </c>
      <c r="P16" s="4">
        <f t="shared" si="5"/>
        <v>0.01</v>
      </c>
      <c r="Q16" s="4">
        <f t="shared" si="6"/>
        <v>1E-3</v>
      </c>
      <c r="R16" s="4">
        <f t="shared" si="7"/>
        <v>0.92500000000000004</v>
      </c>
      <c r="S16" s="22"/>
    </row>
    <row r="17" spans="1:19" x14ac:dyDescent="0.3">
      <c r="A17" s="2" t="s">
        <v>150</v>
      </c>
      <c r="B17" s="2"/>
      <c r="C17">
        <v>15</v>
      </c>
      <c r="D17">
        <v>73</v>
      </c>
      <c r="E17">
        <v>4.5999999999999996</v>
      </c>
      <c r="F17">
        <v>6.3</v>
      </c>
      <c r="G17" s="3">
        <f t="shared" si="0"/>
        <v>1.0999999999999996</v>
      </c>
      <c r="H17">
        <v>2.5</v>
      </c>
      <c r="I17">
        <v>5.2</v>
      </c>
      <c r="J17">
        <v>0.01</v>
      </c>
      <c r="K17">
        <v>1.4</v>
      </c>
      <c r="L17" s="4">
        <f t="shared" si="1"/>
        <v>4.8666666666666663</v>
      </c>
      <c r="M17" s="4">
        <f t="shared" si="2"/>
        <v>0.30666666666666664</v>
      </c>
      <c r="N17" s="4">
        <f t="shared" si="3"/>
        <v>7.3333333333333306E-2</v>
      </c>
      <c r="O17" s="4">
        <f t="shared" si="4"/>
        <v>0.16666666666666666</v>
      </c>
      <c r="P17" s="4">
        <f t="shared" si="5"/>
        <v>0.34666666666666668</v>
      </c>
      <c r="Q17" s="4">
        <f t="shared" si="6"/>
        <v>6.6666666666666664E-4</v>
      </c>
      <c r="R17" s="4">
        <f t="shared" si="7"/>
        <v>9.3333333333333324E-2</v>
      </c>
      <c r="S17" s="22"/>
    </row>
    <row r="18" spans="1:19" x14ac:dyDescent="0.3">
      <c r="A18" s="2" t="s">
        <v>57</v>
      </c>
      <c r="B18" s="2" t="s">
        <v>110</v>
      </c>
      <c r="C18">
        <v>30</v>
      </c>
      <c r="D18">
        <v>130</v>
      </c>
      <c r="E18">
        <v>3.5</v>
      </c>
      <c r="F18">
        <v>24</v>
      </c>
      <c r="G18" s="3">
        <f t="shared" si="0"/>
        <v>21</v>
      </c>
      <c r="H18">
        <v>2</v>
      </c>
      <c r="I18">
        <v>3</v>
      </c>
      <c r="J18">
        <v>0.15</v>
      </c>
      <c r="K18">
        <v>0.2</v>
      </c>
      <c r="L18" s="4">
        <f t="shared" si="1"/>
        <v>4.333333333333333</v>
      </c>
      <c r="M18" s="4">
        <f t="shared" si="2"/>
        <v>0.11666666666666667</v>
      </c>
      <c r="N18" s="4">
        <f t="shared" si="3"/>
        <v>0.7</v>
      </c>
      <c r="O18" s="4">
        <f t="shared" si="4"/>
        <v>6.6666666666666666E-2</v>
      </c>
      <c r="P18" s="4">
        <f t="shared" si="5"/>
        <v>0.1</v>
      </c>
      <c r="Q18" s="4">
        <f t="shared" si="6"/>
        <v>5.0000000000000001E-3</v>
      </c>
      <c r="R18" s="4">
        <f t="shared" si="7"/>
        <v>6.6666666666666671E-3</v>
      </c>
      <c r="S18" s="22"/>
    </row>
    <row r="19" spans="1:19" x14ac:dyDescent="0.3">
      <c r="A19" s="2" t="s">
        <v>31</v>
      </c>
      <c r="B19" s="2"/>
      <c r="C19">
        <v>60</v>
      </c>
      <c r="D19">
        <v>273</v>
      </c>
      <c r="E19">
        <v>23</v>
      </c>
      <c r="F19">
        <v>1.1000000000000001</v>
      </c>
      <c r="G19" s="3">
        <f t="shared" si="0"/>
        <v>1.1000000000000001</v>
      </c>
      <c r="H19">
        <v>14.5</v>
      </c>
      <c r="I19">
        <v>0</v>
      </c>
      <c r="J19">
        <v>0.7</v>
      </c>
      <c r="K19">
        <v>19.100000000000001</v>
      </c>
      <c r="L19" s="4">
        <f t="shared" si="1"/>
        <v>4.55</v>
      </c>
      <c r="M19" s="4">
        <f t="shared" si="2"/>
        <v>0.38333333333333336</v>
      </c>
      <c r="N19" s="4">
        <f t="shared" si="3"/>
        <v>1.8333333333333333E-2</v>
      </c>
      <c r="O19" s="4">
        <f t="shared" si="4"/>
        <v>0.24166666666666667</v>
      </c>
      <c r="P19" s="4">
        <f t="shared" si="5"/>
        <v>0</v>
      </c>
      <c r="Q19" s="4">
        <f t="shared" si="6"/>
        <v>1.1666666666666665E-2</v>
      </c>
      <c r="R19" s="4">
        <f t="shared" si="7"/>
        <v>0.31833333333333336</v>
      </c>
      <c r="S19" s="22"/>
    </row>
    <row r="20" spans="1:19" x14ac:dyDescent="0.3">
      <c r="A20" s="2" t="s">
        <v>69</v>
      </c>
      <c r="B20" s="2" t="s">
        <v>132</v>
      </c>
      <c r="C20">
        <v>15</v>
      </c>
      <c r="D20">
        <v>15</v>
      </c>
      <c r="E20">
        <v>0</v>
      </c>
      <c r="F20">
        <v>2</v>
      </c>
      <c r="G20" s="3">
        <f t="shared" si="0"/>
        <v>1</v>
      </c>
      <c r="H20">
        <v>1</v>
      </c>
      <c r="I20">
        <v>1</v>
      </c>
      <c r="J20">
        <v>0</v>
      </c>
      <c r="K20">
        <v>0</v>
      </c>
      <c r="L20" s="4">
        <f t="shared" si="1"/>
        <v>1</v>
      </c>
      <c r="M20" s="4">
        <f t="shared" si="2"/>
        <v>0</v>
      </c>
      <c r="N20" s="4">
        <f t="shared" si="3"/>
        <v>6.6666666666666666E-2</v>
      </c>
      <c r="O20" s="4">
        <f t="shared" si="4"/>
        <v>6.6666666666666666E-2</v>
      </c>
      <c r="P20" s="4">
        <f t="shared" si="5"/>
        <v>6.6666666666666666E-2</v>
      </c>
      <c r="Q20" s="4">
        <f t="shared" si="6"/>
        <v>0</v>
      </c>
      <c r="R20" s="4">
        <f t="shared" si="7"/>
        <v>0</v>
      </c>
      <c r="S20" s="22">
        <v>0</v>
      </c>
    </row>
    <row r="21" spans="1:19" x14ac:dyDescent="0.3">
      <c r="A21" s="2" t="s">
        <v>23</v>
      </c>
      <c r="B21" s="2"/>
      <c r="C21">
        <v>60</v>
      </c>
      <c r="D21">
        <v>20</v>
      </c>
      <c r="E21">
        <v>0.5</v>
      </c>
      <c r="F21">
        <v>4.5</v>
      </c>
      <c r="G21" s="3">
        <f t="shared" si="0"/>
        <v>3.5</v>
      </c>
      <c r="H21">
        <v>0.5</v>
      </c>
      <c r="I21">
        <v>1</v>
      </c>
      <c r="J21">
        <v>0.5</v>
      </c>
      <c r="K21">
        <v>54.5</v>
      </c>
      <c r="L21" s="4">
        <f t="shared" si="1"/>
        <v>0.33333333333333331</v>
      </c>
      <c r="M21" s="4">
        <f t="shared" si="2"/>
        <v>8.3333333333333332E-3</v>
      </c>
      <c r="N21" s="4">
        <f t="shared" si="3"/>
        <v>5.8333333333333334E-2</v>
      </c>
      <c r="O21" s="4">
        <f t="shared" si="4"/>
        <v>8.3333333333333332E-3</v>
      </c>
      <c r="P21" s="4">
        <f t="shared" si="5"/>
        <v>1.6666666666666666E-2</v>
      </c>
      <c r="Q21" s="4">
        <f t="shared" si="6"/>
        <v>8.3333333333333332E-3</v>
      </c>
      <c r="R21" s="4">
        <f t="shared" si="7"/>
        <v>0.90833333333333333</v>
      </c>
      <c r="S21" s="22"/>
    </row>
    <row r="22" spans="1:19" x14ac:dyDescent="0.3">
      <c r="A22" s="2" t="s">
        <v>68</v>
      </c>
      <c r="B22" s="2"/>
      <c r="C22">
        <v>8.5</v>
      </c>
      <c r="D22">
        <v>36.67</v>
      </c>
      <c r="E22">
        <v>1.33</v>
      </c>
      <c r="F22">
        <v>5.33</v>
      </c>
      <c r="G22" s="3">
        <f t="shared" si="0"/>
        <v>5</v>
      </c>
      <c r="H22">
        <v>0.67</v>
      </c>
      <c r="I22">
        <v>0.33</v>
      </c>
      <c r="J22">
        <v>53.33</v>
      </c>
      <c r="K22">
        <v>0</v>
      </c>
      <c r="L22" s="4">
        <f t="shared" si="1"/>
        <v>4.3141176470588238</v>
      </c>
      <c r="M22" s="4">
        <f t="shared" si="2"/>
        <v>0.15647058823529414</v>
      </c>
      <c r="N22" s="4">
        <f t="shared" si="3"/>
        <v>0.58823529411764708</v>
      </c>
      <c r="O22" s="4">
        <f t="shared" si="4"/>
        <v>7.8823529411764709E-2</v>
      </c>
      <c r="P22" s="4">
        <f t="shared" si="5"/>
        <v>3.8823529411764708E-2</v>
      </c>
      <c r="Q22" s="4">
        <f t="shared" si="6"/>
        <v>6.2741176470588229</v>
      </c>
      <c r="R22" s="4">
        <f t="shared" si="7"/>
        <v>0</v>
      </c>
      <c r="S22" s="22"/>
    </row>
    <row r="23" spans="1:19" x14ac:dyDescent="0.3">
      <c r="A23" s="2" t="s">
        <v>42</v>
      </c>
      <c r="B23" s="2"/>
      <c r="C23">
        <v>60</v>
      </c>
      <c r="D23">
        <v>230</v>
      </c>
      <c r="E23">
        <v>3.5</v>
      </c>
      <c r="F23">
        <v>38</v>
      </c>
      <c r="G23" s="3">
        <f t="shared" si="0"/>
        <v>31</v>
      </c>
      <c r="H23">
        <v>12</v>
      </c>
      <c r="I23">
        <v>7</v>
      </c>
      <c r="J23">
        <v>1.4999999999999999E-2</v>
      </c>
      <c r="K23">
        <v>98.7</v>
      </c>
      <c r="L23" s="4">
        <f t="shared" si="1"/>
        <v>3.8333333333333335</v>
      </c>
      <c r="M23" s="4">
        <f t="shared" si="2"/>
        <v>5.8333333333333334E-2</v>
      </c>
      <c r="N23" s="4">
        <f t="shared" si="3"/>
        <v>0.51666666666666672</v>
      </c>
      <c r="O23" s="4">
        <f t="shared" si="4"/>
        <v>0.2</v>
      </c>
      <c r="P23" s="4">
        <f t="shared" si="5"/>
        <v>0.11666666666666667</v>
      </c>
      <c r="Q23" s="4">
        <f t="shared" si="6"/>
        <v>2.5000000000000001E-4</v>
      </c>
      <c r="R23" s="4">
        <f t="shared" si="7"/>
        <v>1.645</v>
      </c>
      <c r="S23" s="22"/>
    </row>
    <row r="24" spans="1:19" x14ac:dyDescent="0.3">
      <c r="A24" s="2" t="s">
        <v>67</v>
      </c>
      <c r="B24" s="2"/>
      <c r="C24">
        <v>100</v>
      </c>
      <c r="D24">
        <v>216</v>
      </c>
      <c r="E24">
        <v>7.7</v>
      </c>
      <c r="F24">
        <v>0</v>
      </c>
      <c r="G24" s="3">
        <f t="shared" si="0"/>
        <v>0</v>
      </c>
      <c r="H24">
        <v>34.299999999999997</v>
      </c>
      <c r="I24">
        <v>0</v>
      </c>
      <c r="J24">
        <v>0.1</v>
      </c>
      <c r="K24">
        <v>57.5</v>
      </c>
      <c r="L24" s="4">
        <f t="shared" si="1"/>
        <v>2.16</v>
      </c>
      <c r="M24" s="4">
        <f t="shared" si="2"/>
        <v>7.6999999999999999E-2</v>
      </c>
      <c r="N24" s="4">
        <f t="shared" si="3"/>
        <v>0</v>
      </c>
      <c r="O24" s="4">
        <f t="shared" si="4"/>
        <v>0.34299999999999997</v>
      </c>
      <c r="P24" s="4">
        <f t="shared" si="5"/>
        <v>0</v>
      </c>
      <c r="Q24" s="4">
        <f t="shared" si="6"/>
        <v>1E-3</v>
      </c>
      <c r="R24" s="4">
        <f t="shared" si="7"/>
        <v>0.57499999999999996</v>
      </c>
      <c r="S24" s="22"/>
    </row>
    <row r="25" spans="1:19" x14ac:dyDescent="0.3">
      <c r="A25" s="2" t="s">
        <v>71</v>
      </c>
      <c r="B25" s="2" t="s">
        <v>132</v>
      </c>
      <c r="C25">
        <v>30</v>
      </c>
      <c r="D25">
        <v>110</v>
      </c>
      <c r="E25">
        <v>1</v>
      </c>
      <c r="F25">
        <v>24</v>
      </c>
      <c r="G25" s="3">
        <f t="shared" si="0"/>
        <v>21</v>
      </c>
      <c r="H25">
        <v>2</v>
      </c>
      <c r="I25">
        <v>3</v>
      </c>
      <c r="J25">
        <v>0.03</v>
      </c>
      <c r="K25">
        <v>0</v>
      </c>
      <c r="L25" s="4">
        <f t="shared" si="1"/>
        <v>3.6666666666666665</v>
      </c>
      <c r="M25" s="4">
        <f t="shared" si="2"/>
        <v>3.3333333333333333E-2</v>
      </c>
      <c r="N25" s="4">
        <f t="shared" si="3"/>
        <v>0.7</v>
      </c>
      <c r="O25" s="4">
        <f t="shared" si="4"/>
        <v>6.6666666666666666E-2</v>
      </c>
      <c r="P25" s="4">
        <f t="shared" si="5"/>
        <v>0.1</v>
      </c>
      <c r="Q25" s="4">
        <f t="shared" si="6"/>
        <v>1E-3</v>
      </c>
      <c r="R25" s="4">
        <f t="shared" si="7"/>
        <v>0</v>
      </c>
      <c r="S25" s="22">
        <v>0.9</v>
      </c>
    </row>
    <row r="26" spans="1:19" x14ac:dyDescent="0.3">
      <c r="A26" s="2" t="s">
        <v>153</v>
      </c>
      <c r="B26" s="2" t="s">
        <v>110</v>
      </c>
      <c r="C26">
        <v>63</v>
      </c>
      <c r="D26">
        <v>70</v>
      </c>
      <c r="E26">
        <v>2</v>
      </c>
      <c r="F26">
        <v>11</v>
      </c>
      <c r="G26" s="3">
        <f t="shared" si="0"/>
        <v>11</v>
      </c>
      <c r="H26">
        <v>3</v>
      </c>
      <c r="I26">
        <v>0</v>
      </c>
      <c r="J26">
        <v>3.7999999999999999E-2</v>
      </c>
      <c r="K26">
        <v>0</v>
      </c>
      <c r="L26" s="4">
        <f t="shared" si="1"/>
        <v>1.1111111111111112</v>
      </c>
      <c r="M26" s="4">
        <f t="shared" si="2"/>
        <v>3.1746031746031744E-2</v>
      </c>
      <c r="N26" s="4">
        <f t="shared" si="3"/>
        <v>0.17460317460317459</v>
      </c>
      <c r="O26" s="4">
        <f t="shared" si="4"/>
        <v>4.7619047619047616E-2</v>
      </c>
      <c r="P26" s="4">
        <f t="shared" si="5"/>
        <v>0</v>
      </c>
      <c r="Q26" s="4">
        <f t="shared" si="6"/>
        <v>6.031746031746032E-4</v>
      </c>
      <c r="R26" s="4">
        <f t="shared" si="7"/>
        <v>0</v>
      </c>
      <c r="S26" s="22"/>
    </row>
    <row r="27" spans="1:19" x14ac:dyDescent="0.3">
      <c r="A27" s="2" t="s">
        <v>172</v>
      </c>
      <c r="B27" s="2"/>
      <c r="C27">
        <v>46</v>
      </c>
      <c r="D27">
        <v>90.2</v>
      </c>
      <c r="E27">
        <v>6.8</v>
      </c>
      <c r="F27">
        <v>0.4</v>
      </c>
      <c r="G27" s="3">
        <f t="shared" si="0"/>
        <v>0.4</v>
      </c>
      <c r="H27">
        <v>6.3</v>
      </c>
      <c r="I27">
        <v>0</v>
      </c>
      <c r="J27">
        <v>0.1</v>
      </c>
      <c r="K27">
        <v>32</v>
      </c>
      <c r="L27" s="4">
        <f t="shared" si="1"/>
        <v>1.9608695652173913</v>
      </c>
      <c r="M27" s="4">
        <f t="shared" si="2"/>
        <v>0.14782608695652175</v>
      </c>
      <c r="N27" s="4">
        <f t="shared" si="3"/>
        <v>8.6956521739130436E-3</v>
      </c>
      <c r="O27" s="4">
        <f t="shared" si="4"/>
        <v>0.13695652173913042</v>
      </c>
      <c r="P27" s="4">
        <f t="shared" si="5"/>
        <v>0</v>
      </c>
      <c r="Q27" s="4">
        <f t="shared" si="6"/>
        <v>2.1739130434782609E-3</v>
      </c>
      <c r="R27" s="4">
        <f t="shared" si="7"/>
        <v>0.69565217391304346</v>
      </c>
      <c r="S27" s="22">
        <v>1.5</v>
      </c>
    </row>
    <row r="28" spans="1:19" x14ac:dyDescent="0.3">
      <c r="A28" s="2" t="s">
        <v>45</v>
      </c>
      <c r="B28" s="2"/>
      <c r="C28">
        <v>60</v>
      </c>
      <c r="D28">
        <v>93</v>
      </c>
      <c r="E28">
        <v>6.4</v>
      </c>
      <c r="F28">
        <v>0.7</v>
      </c>
      <c r="G28" s="3">
        <f t="shared" si="0"/>
        <v>0.7</v>
      </c>
      <c r="H28">
        <v>7.5</v>
      </c>
      <c r="I28">
        <v>0</v>
      </c>
      <c r="J28">
        <v>0.1</v>
      </c>
      <c r="K28">
        <v>44.8</v>
      </c>
      <c r="L28" s="4">
        <f t="shared" si="1"/>
        <v>1.55</v>
      </c>
      <c r="M28" s="4">
        <f t="shared" si="2"/>
        <v>0.10666666666666667</v>
      </c>
      <c r="N28" s="4">
        <f t="shared" si="3"/>
        <v>1.1666666666666665E-2</v>
      </c>
      <c r="O28" s="4">
        <f t="shared" si="4"/>
        <v>0.125</v>
      </c>
      <c r="P28" s="4">
        <f t="shared" si="5"/>
        <v>0</v>
      </c>
      <c r="Q28" s="4">
        <f t="shared" si="6"/>
        <v>1.6666666666666668E-3</v>
      </c>
      <c r="R28" s="4">
        <f t="shared" si="7"/>
        <v>0.74666666666666659</v>
      </c>
      <c r="S28" s="22">
        <v>1.7</v>
      </c>
    </row>
    <row r="29" spans="1:19" x14ac:dyDescent="0.3">
      <c r="A29" s="2" t="s">
        <v>33</v>
      </c>
      <c r="B29" s="2" t="s">
        <v>132</v>
      </c>
      <c r="C29">
        <v>40</v>
      </c>
      <c r="D29">
        <v>40</v>
      </c>
      <c r="E29">
        <v>1</v>
      </c>
      <c r="F29">
        <v>1</v>
      </c>
      <c r="G29" s="3">
        <f t="shared" si="0"/>
        <v>1</v>
      </c>
      <c r="H29">
        <v>6</v>
      </c>
      <c r="I29">
        <v>0</v>
      </c>
      <c r="J29">
        <v>0.35</v>
      </c>
      <c r="K29">
        <v>0</v>
      </c>
      <c r="L29" s="3">
        <f t="shared" si="1"/>
        <v>1</v>
      </c>
      <c r="M29" s="4">
        <f t="shared" si="2"/>
        <v>2.5000000000000001E-2</v>
      </c>
      <c r="N29" s="4">
        <f t="shared" si="3"/>
        <v>2.5000000000000001E-2</v>
      </c>
      <c r="O29" s="4">
        <f t="shared" si="4"/>
        <v>0.15</v>
      </c>
      <c r="P29" s="4">
        <f t="shared" si="5"/>
        <v>0</v>
      </c>
      <c r="Q29" s="4">
        <f t="shared" si="6"/>
        <v>8.7499999999999991E-3</v>
      </c>
      <c r="R29" s="4">
        <f t="shared" si="7"/>
        <v>0</v>
      </c>
      <c r="S29" s="22">
        <v>0.8</v>
      </c>
    </row>
    <row r="30" spans="1:19" x14ac:dyDescent="0.3">
      <c r="A30" s="2" t="s">
        <v>158</v>
      </c>
      <c r="B30" s="2" t="s">
        <v>132</v>
      </c>
      <c r="C30">
        <v>18</v>
      </c>
      <c r="D30">
        <v>20</v>
      </c>
      <c r="E30">
        <v>0.5</v>
      </c>
      <c r="F30">
        <v>1.5</v>
      </c>
      <c r="G30" s="3">
        <f t="shared" si="0"/>
        <v>1.5</v>
      </c>
      <c r="H30">
        <v>2.5</v>
      </c>
      <c r="I30">
        <v>0</v>
      </c>
      <c r="J30">
        <v>0.34</v>
      </c>
      <c r="K30">
        <v>0</v>
      </c>
      <c r="L30" s="4">
        <f t="shared" si="1"/>
        <v>1.1111111111111112</v>
      </c>
      <c r="M30" s="4">
        <f t="shared" si="2"/>
        <v>2.7777777777777776E-2</v>
      </c>
      <c r="N30" s="4">
        <f t="shared" si="3"/>
        <v>8.3333333333333329E-2</v>
      </c>
      <c r="O30" s="4">
        <f t="shared" si="4"/>
        <v>0.1388888888888889</v>
      </c>
      <c r="P30" s="4">
        <f t="shared" si="5"/>
        <v>0</v>
      </c>
      <c r="Q30" s="4">
        <f t="shared" si="6"/>
        <v>1.8888888888888889E-2</v>
      </c>
      <c r="R30" s="4">
        <f t="shared" si="7"/>
        <v>0</v>
      </c>
      <c r="S30" s="22">
        <v>1.1000000000000001</v>
      </c>
    </row>
    <row r="31" spans="1:19" x14ac:dyDescent="0.3">
      <c r="A31" s="2" t="s">
        <v>39</v>
      </c>
      <c r="B31" s="2" t="s">
        <v>132</v>
      </c>
      <c r="C31">
        <v>240</v>
      </c>
      <c r="D31">
        <v>80</v>
      </c>
      <c r="E31">
        <v>0</v>
      </c>
      <c r="F31">
        <v>11</v>
      </c>
      <c r="G31" s="3">
        <f t="shared" si="0"/>
        <v>11</v>
      </c>
      <c r="H31">
        <v>7</v>
      </c>
      <c r="I31">
        <v>0</v>
      </c>
      <c r="J31">
        <v>0.125</v>
      </c>
      <c r="K31">
        <v>150</v>
      </c>
      <c r="L31" s="4">
        <f t="shared" si="1"/>
        <v>0.33333333333333331</v>
      </c>
      <c r="M31" s="4">
        <f t="shared" si="2"/>
        <v>0</v>
      </c>
      <c r="N31" s="4">
        <f t="shared" si="3"/>
        <v>4.583333333333333E-2</v>
      </c>
      <c r="O31" s="4">
        <f t="shared" si="4"/>
        <v>2.9166666666666667E-2</v>
      </c>
      <c r="P31" s="4">
        <f t="shared" si="5"/>
        <v>0</v>
      </c>
      <c r="Q31" s="4">
        <f t="shared" si="6"/>
        <v>5.2083333333333333E-4</v>
      </c>
      <c r="R31" s="4">
        <f t="shared" si="7"/>
        <v>0.625</v>
      </c>
      <c r="S31" s="22">
        <v>0.7</v>
      </c>
    </row>
    <row r="32" spans="1:19" x14ac:dyDescent="0.3">
      <c r="A32" s="2" t="s">
        <v>131</v>
      </c>
      <c r="B32" s="2" t="s">
        <v>132</v>
      </c>
      <c r="C32">
        <v>28</v>
      </c>
      <c r="D32">
        <v>150</v>
      </c>
      <c r="E32">
        <v>8</v>
      </c>
      <c r="F32">
        <v>11</v>
      </c>
      <c r="G32" s="3">
        <f t="shared" si="0"/>
        <v>11</v>
      </c>
      <c r="H32">
        <v>7</v>
      </c>
      <c r="I32">
        <v>0</v>
      </c>
      <c r="J32">
        <v>0.115</v>
      </c>
      <c r="K32">
        <v>0</v>
      </c>
      <c r="L32" s="4">
        <f t="shared" si="1"/>
        <v>5.3571428571428568</v>
      </c>
      <c r="M32" s="4">
        <f t="shared" si="2"/>
        <v>0.2857142857142857</v>
      </c>
      <c r="N32" s="4">
        <f t="shared" si="3"/>
        <v>0.39285714285714285</v>
      </c>
      <c r="O32" s="4">
        <f t="shared" si="4"/>
        <v>0.25</v>
      </c>
      <c r="P32" s="4">
        <f t="shared" si="5"/>
        <v>0</v>
      </c>
      <c r="Q32" s="4">
        <f t="shared" si="6"/>
        <v>4.1071428571428569E-3</v>
      </c>
      <c r="R32" s="4">
        <f t="shared" si="7"/>
        <v>0</v>
      </c>
      <c r="S32" s="22"/>
    </row>
    <row r="33" spans="1:19" x14ac:dyDescent="0.3">
      <c r="A33" s="2" t="s">
        <v>53</v>
      </c>
      <c r="B33" s="2"/>
      <c r="C33">
        <v>100</v>
      </c>
      <c r="D33">
        <v>15</v>
      </c>
      <c r="E33">
        <v>0.1</v>
      </c>
      <c r="F33">
        <v>2.9</v>
      </c>
      <c r="G33" s="3">
        <f t="shared" si="0"/>
        <v>1.5999999999999999</v>
      </c>
      <c r="H33">
        <v>1.4</v>
      </c>
      <c r="I33">
        <v>1.3</v>
      </c>
      <c r="J33">
        <v>0.1</v>
      </c>
      <c r="K33">
        <v>95</v>
      </c>
      <c r="L33" s="4">
        <f t="shared" si="1"/>
        <v>0.15</v>
      </c>
      <c r="M33" s="4">
        <f t="shared" si="2"/>
        <v>1E-3</v>
      </c>
      <c r="N33" s="4">
        <f t="shared" si="3"/>
        <v>1.6E-2</v>
      </c>
      <c r="O33" s="4">
        <f t="shared" si="4"/>
        <v>1.3999999999999999E-2</v>
      </c>
      <c r="P33" s="4">
        <f t="shared" si="5"/>
        <v>1.3000000000000001E-2</v>
      </c>
      <c r="Q33" s="4">
        <f t="shared" si="6"/>
        <v>1E-3</v>
      </c>
      <c r="R33" s="4">
        <f t="shared" si="7"/>
        <v>0.95</v>
      </c>
      <c r="S33" s="22"/>
    </row>
    <row r="34" spans="1:19" x14ac:dyDescent="0.3">
      <c r="A34" s="2" t="s">
        <v>41</v>
      </c>
      <c r="B34" s="2"/>
      <c r="C34">
        <v>60</v>
      </c>
      <c r="D34">
        <v>220</v>
      </c>
      <c r="E34">
        <v>0.5</v>
      </c>
      <c r="F34">
        <v>38</v>
      </c>
      <c r="G34" s="3">
        <f t="shared" ref="G34:G64" si="8">F34-I34</f>
        <v>32</v>
      </c>
      <c r="H34">
        <v>15</v>
      </c>
      <c r="I34">
        <v>6</v>
      </c>
      <c r="J34">
        <v>0</v>
      </c>
      <c r="K34">
        <v>137.9</v>
      </c>
      <c r="L34" s="4">
        <f t="shared" ref="L34:L64" si="9">D34/C34</f>
        <v>3.6666666666666665</v>
      </c>
      <c r="M34" s="4">
        <f t="shared" ref="M34:M64" si="10">E34/C34</f>
        <v>8.3333333333333332E-3</v>
      </c>
      <c r="N34" s="4">
        <f t="shared" ref="N34:N64" si="11">G34/C34</f>
        <v>0.53333333333333333</v>
      </c>
      <c r="O34" s="4">
        <f t="shared" ref="O34:O64" si="12">H34/C34</f>
        <v>0.25</v>
      </c>
      <c r="P34" s="4">
        <f t="shared" ref="P34:P64" si="13">I34/C34</f>
        <v>0.1</v>
      </c>
      <c r="Q34" s="4">
        <f t="shared" ref="Q34:Q64" si="14">J34/C34</f>
        <v>0</v>
      </c>
      <c r="R34" s="4">
        <f t="shared" ref="R34:R64" si="15">K34/C34</f>
        <v>2.2983333333333333</v>
      </c>
      <c r="S34" s="22"/>
    </row>
    <row r="35" spans="1:19" x14ac:dyDescent="0.3">
      <c r="A35" s="2" t="s">
        <v>38</v>
      </c>
      <c r="B35" s="2"/>
      <c r="C35">
        <v>58</v>
      </c>
      <c r="D35">
        <v>16.8</v>
      </c>
      <c r="E35">
        <v>0.2</v>
      </c>
      <c r="F35">
        <v>5.4</v>
      </c>
      <c r="G35" s="3">
        <f t="shared" si="8"/>
        <v>3.8000000000000003</v>
      </c>
      <c r="H35">
        <v>0.6</v>
      </c>
      <c r="I35">
        <v>1.6</v>
      </c>
      <c r="J35">
        <v>0.1</v>
      </c>
      <c r="K35">
        <v>51.6</v>
      </c>
      <c r="L35" s="4">
        <f t="shared" si="9"/>
        <v>0.28965517241379313</v>
      </c>
      <c r="M35" s="4">
        <f t="shared" si="10"/>
        <v>3.4482758620689659E-3</v>
      </c>
      <c r="N35" s="4">
        <f t="shared" si="11"/>
        <v>6.5517241379310351E-2</v>
      </c>
      <c r="O35" s="4">
        <f t="shared" si="12"/>
        <v>1.0344827586206896E-2</v>
      </c>
      <c r="P35" s="4">
        <f t="shared" si="13"/>
        <v>2.7586206896551727E-2</v>
      </c>
      <c r="Q35" s="4">
        <f t="shared" si="14"/>
        <v>1.724137931034483E-3</v>
      </c>
      <c r="R35" s="4">
        <f t="shared" si="15"/>
        <v>0.8896551724137931</v>
      </c>
      <c r="S35" s="22">
        <v>0.4</v>
      </c>
    </row>
    <row r="36" spans="1:19" x14ac:dyDescent="0.3">
      <c r="A36" s="2" t="s">
        <v>66</v>
      </c>
      <c r="B36" s="2"/>
      <c r="C36">
        <v>2.5</v>
      </c>
      <c r="D36">
        <v>0</v>
      </c>
      <c r="E36">
        <v>0</v>
      </c>
      <c r="F36">
        <v>0</v>
      </c>
      <c r="G36" s="3">
        <f t="shared" si="8"/>
        <v>0</v>
      </c>
      <c r="H36">
        <v>0</v>
      </c>
      <c r="I36">
        <v>0</v>
      </c>
      <c r="J36">
        <v>0.49</v>
      </c>
      <c r="K36">
        <v>0</v>
      </c>
      <c r="L36" s="4">
        <f t="shared" si="9"/>
        <v>0</v>
      </c>
      <c r="M36" s="4">
        <f t="shared" si="10"/>
        <v>0</v>
      </c>
      <c r="N36" s="4">
        <f t="shared" si="11"/>
        <v>0</v>
      </c>
      <c r="O36" s="4">
        <f t="shared" si="12"/>
        <v>0</v>
      </c>
      <c r="P36" s="4">
        <f t="shared" si="13"/>
        <v>0</v>
      </c>
      <c r="Q36" s="4">
        <f t="shared" si="14"/>
        <v>0.19600000000000001</v>
      </c>
      <c r="R36" s="4">
        <f t="shared" si="15"/>
        <v>0</v>
      </c>
      <c r="S36" s="22"/>
    </row>
    <row r="37" spans="1:19" x14ac:dyDescent="0.3">
      <c r="A37" s="2" t="s">
        <v>43</v>
      </c>
      <c r="B37" s="2"/>
      <c r="C37">
        <v>60</v>
      </c>
      <c r="D37">
        <v>40</v>
      </c>
      <c r="E37">
        <v>0.6</v>
      </c>
      <c r="F37">
        <v>3</v>
      </c>
      <c r="G37" s="3">
        <f t="shared" si="8"/>
        <v>1.1000000000000001</v>
      </c>
      <c r="H37">
        <v>1.74</v>
      </c>
      <c r="I37">
        <v>1.9</v>
      </c>
      <c r="J37">
        <v>0.35</v>
      </c>
      <c r="K37">
        <v>90</v>
      </c>
      <c r="L37" s="4">
        <f t="shared" si="9"/>
        <v>0.66666666666666663</v>
      </c>
      <c r="M37" s="4">
        <f t="shared" si="10"/>
        <v>0.01</v>
      </c>
      <c r="N37" s="4">
        <f t="shared" si="11"/>
        <v>1.8333333333333333E-2</v>
      </c>
      <c r="O37" s="4">
        <f t="shared" si="12"/>
        <v>2.9000000000000001E-2</v>
      </c>
      <c r="P37" s="4">
        <f t="shared" si="13"/>
        <v>3.1666666666666662E-2</v>
      </c>
      <c r="Q37" s="4">
        <f t="shared" si="14"/>
        <v>5.8333333333333327E-3</v>
      </c>
      <c r="R37" s="4">
        <f t="shared" si="15"/>
        <v>1.5</v>
      </c>
      <c r="S37" s="22">
        <v>0.8</v>
      </c>
    </row>
    <row r="38" spans="1:19" x14ac:dyDescent="0.3">
      <c r="A38" s="2" t="s">
        <v>26</v>
      </c>
      <c r="B38" s="2"/>
      <c r="C38">
        <v>74</v>
      </c>
      <c r="D38">
        <v>35</v>
      </c>
      <c r="E38">
        <v>0.1</v>
      </c>
      <c r="F38">
        <v>8.9</v>
      </c>
      <c r="G38" s="3">
        <f t="shared" si="8"/>
        <v>7.6000000000000005</v>
      </c>
      <c r="H38">
        <v>0.6</v>
      </c>
      <c r="I38">
        <v>1.3</v>
      </c>
      <c r="J38">
        <v>0.1</v>
      </c>
      <c r="K38">
        <v>64.099999999999994</v>
      </c>
      <c r="L38" s="4">
        <f t="shared" si="9"/>
        <v>0.47297297297297297</v>
      </c>
      <c r="M38" s="4">
        <f t="shared" si="10"/>
        <v>1.3513513513513514E-3</v>
      </c>
      <c r="N38" s="4">
        <f t="shared" si="11"/>
        <v>0.10270270270270271</v>
      </c>
      <c r="O38" s="4">
        <f t="shared" si="12"/>
        <v>8.1081081081081086E-3</v>
      </c>
      <c r="P38" s="4">
        <f t="shared" si="13"/>
        <v>1.7567567567567569E-2</v>
      </c>
      <c r="Q38" s="4">
        <f t="shared" si="14"/>
        <v>1.3513513513513514E-3</v>
      </c>
      <c r="R38" s="4">
        <f t="shared" si="15"/>
        <v>0.86621621621621614</v>
      </c>
      <c r="S38" s="22"/>
    </row>
    <row r="39" spans="1:19" x14ac:dyDescent="0.3">
      <c r="A39" t="s">
        <v>22</v>
      </c>
      <c r="C39">
        <v>165</v>
      </c>
      <c r="D39">
        <v>99</v>
      </c>
      <c r="E39">
        <v>0.6</v>
      </c>
      <c r="F39">
        <v>24.7</v>
      </c>
      <c r="G39" s="3">
        <f t="shared" si="8"/>
        <v>22.099999999999998</v>
      </c>
      <c r="H39">
        <v>1.4</v>
      </c>
      <c r="I39" s="5">
        <v>2.6</v>
      </c>
      <c r="J39">
        <v>0.1</v>
      </c>
      <c r="K39">
        <v>137.69999999999999</v>
      </c>
      <c r="L39" s="4">
        <f t="shared" si="9"/>
        <v>0.6</v>
      </c>
      <c r="M39" s="4">
        <f t="shared" si="10"/>
        <v>3.6363636363636364E-3</v>
      </c>
      <c r="N39" s="4">
        <f t="shared" si="11"/>
        <v>0.13393939393939391</v>
      </c>
      <c r="O39" s="4">
        <f t="shared" si="12"/>
        <v>8.484848484848484E-3</v>
      </c>
      <c r="P39" s="4">
        <f t="shared" si="13"/>
        <v>1.5757575757575758E-2</v>
      </c>
      <c r="Q39" s="4">
        <f t="shared" si="14"/>
        <v>6.0606060606060606E-4</v>
      </c>
      <c r="R39" s="4">
        <f t="shared" si="15"/>
        <v>0.83454545454545448</v>
      </c>
      <c r="S39" s="22"/>
    </row>
    <row r="40" spans="1:19" x14ac:dyDescent="0.3">
      <c r="A40" s="2" t="s">
        <v>51</v>
      </c>
      <c r="B40" s="2"/>
      <c r="C40">
        <v>50</v>
      </c>
      <c r="D40">
        <v>284</v>
      </c>
      <c r="E40">
        <v>24.6</v>
      </c>
      <c r="F40">
        <v>8.1</v>
      </c>
      <c r="G40" s="3">
        <f t="shared" si="8"/>
        <v>3.8</v>
      </c>
      <c r="H40">
        <v>12.9</v>
      </c>
      <c r="I40">
        <v>4.3</v>
      </c>
      <c r="J40">
        <v>0.1</v>
      </c>
      <c r="K40">
        <v>3.3</v>
      </c>
      <c r="L40" s="4">
        <f t="shared" si="9"/>
        <v>5.68</v>
      </c>
      <c r="M40" s="4">
        <f t="shared" si="10"/>
        <v>0.49200000000000005</v>
      </c>
      <c r="N40" s="4">
        <f t="shared" si="11"/>
        <v>7.5999999999999998E-2</v>
      </c>
      <c r="O40" s="4">
        <f t="shared" si="12"/>
        <v>0.25800000000000001</v>
      </c>
      <c r="P40" s="4">
        <f t="shared" si="13"/>
        <v>8.5999999999999993E-2</v>
      </c>
      <c r="Q40" s="4">
        <f t="shared" si="14"/>
        <v>2E-3</v>
      </c>
      <c r="R40" s="4">
        <f t="shared" si="15"/>
        <v>6.6000000000000003E-2</v>
      </c>
      <c r="S40" s="22"/>
    </row>
    <row r="41" spans="1:19" x14ac:dyDescent="0.3">
      <c r="A41" s="2" t="s">
        <v>58</v>
      </c>
      <c r="B41" s="2"/>
      <c r="C41">
        <v>14</v>
      </c>
      <c r="D41">
        <v>100</v>
      </c>
      <c r="E41">
        <v>11</v>
      </c>
      <c r="F41">
        <v>0</v>
      </c>
      <c r="G41" s="3">
        <f t="shared" si="8"/>
        <v>0</v>
      </c>
      <c r="H41">
        <v>0.1</v>
      </c>
      <c r="I41">
        <v>0</v>
      </c>
      <c r="J41">
        <v>0.125</v>
      </c>
      <c r="K41">
        <v>2.2999999999999998</v>
      </c>
      <c r="L41" s="4">
        <f t="shared" si="9"/>
        <v>7.1428571428571432</v>
      </c>
      <c r="M41" s="4">
        <f t="shared" si="10"/>
        <v>0.7857142857142857</v>
      </c>
      <c r="N41" s="4">
        <f t="shared" si="11"/>
        <v>0</v>
      </c>
      <c r="O41" s="4">
        <f t="shared" si="12"/>
        <v>7.1428571428571435E-3</v>
      </c>
      <c r="P41" s="4">
        <f t="shared" si="13"/>
        <v>0</v>
      </c>
      <c r="Q41" s="4">
        <f t="shared" si="14"/>
        <v>8.9285714285714281E-3</v>
      </c>
      <c r="R41" s="4">
        <f t="shared" si="15"/>
        <v>0.16428571428571428</v>
      </c>
      <c r="S41" s="22">
        <v>0</v>
      </c>
    </row>
    <row r="42" spans="1:19" x14ac:dyDescent="0.3">
      <c r="A42" s="2" t="s">
        <v>58</v>
      </c>
      <c r="B42" s="2" t="s">
        <v>136</v>
      </c>
      <c r="C42">
        <v>14</v>
      </c>
      <c r="D42">
        <v>100</v>
      </c>
      <c r="E42">
        <v>11</v>
      </c>
      <c r="F42">
        <v>0</v>
      </c>
      <c r="G42" s="3">
        <f t="shared" si="8"/>
        <v>0</v>
      </c>
      <c r="H42">
        <v>0</v>
      </c>
      <c r="I42">
        <v>0</v>
      </c>
      <c r="J42">
        <v>0.125</v>
      </c>
      <c r="K42">
        <v>0</v>
      </c>
      <c r="L42" s="4">
        <f t="shared" si="9"/>
        <v>7.1428571428571432</v>
      </c>
      <c r="M42" s="4">
        <f t="shared" si="10"/>
        <v>0.7857142857142857</v>
      </c>
      <c r="N42" s="4">
        <f t="shared" si="11"/>
        <v>0</v>
      </c>
      <c r="O42" s="4">
        <f t="shared" si="12"/>
        <v>0</v>
      </c>
      <c r="P42" s="4">
        <f t="shared" si="13"/>
        <v>0</v>
      </c>
      <c r="Q42" s="4">
        <f t="shared" si="14"/>
        <v>8.9285714285714281E-3</v>
      </c>
      <c r="R42" s="4">
        <f t="shared" si="15"/>
        <v>0</v>
      </c>
      <c r="S42" s="22">
        <v>0</v>
      </c>
    </row>
    <row r="43" spans="1:19" x14ac:dyDescent="0.3">
      <c r="A43" s="2" t="s">
        <v>59</v>
      </c>
      <c r="B43" s="2"/>
      <c r="C43">
        <v>180</v>
      </c>
      <c r="D43">
        <v>94.6</v>
      </c>
      <c r="E43">
        <v>0.3</v>
      </c>
      <c r="F43">
        <v>25.1</v>
      </c>
      <c r="G43" s="3">
        <f t="shared" si="8"/>
        <v>20.700000000000003</v>
      </c>
      <c r="H43">
        <v>0.5</v>
      </c>
      <c r="I43">
        <v>4.4000000000000004</v>
      </c>
      <c r="J43">
        <v>0.1</v>
      </c>
      <c r="K43">
        <v>155.69999999999999</v>
      </c>
      <c r="L43" s="4">
        <f t="shared" si="9"/>
        <v>0.52555555555555555</v>
      </c>
      <c r="M43" s="4">
        <f t="shared" si="10"/>
        <v>1.6666666666666666E-3</v>
      </c>
      <c r="N43" s="4">
        <f t="shared" si="11"/>
        <v>0.11500000000000002</v>
      </c>
      <c r="O43" s="4">
        <f t="shared" si="12"/>
        <v>2.7777777777777779E-3</v>
      </c>
      <c r="P43" s="4">
        <f t="shared" si="13"/>
        <v>2.4444444444444446E-2</v>
      </c>
      <c r="Q43" s="4">
        <f t="shared" si="14"/>
        <v>5.5555555555555556E-4</v>
      </c>
      <c r="R43" s="4">
        <f t="shared" si="15"/>
        <v>0.86499999999999999</v>
      </c>
      <c r="S43" s="22"/>
    </row>
    <row r="44" spans="1:19" x14ac:dyDescent="0.3">
      <c r="A44" s="2" t="s">
        <v>48</v>
      </c>
      <c r="B44" s="2" t="s">
        <v>110</v>
      </c>
      <c r="C44">
        <v>15</v>
      </c>
      <c r="D44">
        <v>30</v>
      </c>
      <c r="E44">
        <v>2.5</v>
      </c>
      <c r="F44">
        <v>2</v>
      </c>
      <c r="G44" s="3">
        <f t="shared" si="8"/>
        <v>2</v>
      </c>
      <c r="H44">
        <v>0</v>
      </c>
      <c r="I44">
        <v>0</v>
      </c>
      <c r="J44">
        <v>0.12</v>
      </c>
      <c r="K44">
        <v>0</v>
      </c>
      <c r="L44" s="4">
        <f t="shared" si="9"/>
        <v>2</v>
      </c>
      <c r="M44" s="4">
        <f t="shared" si="10"/>
        <v>0.16666666666666666</v>
      </c>
      <c r="N44" s="4">
        <f t="shared" si="11"/>
        <v>0.13333333333333333</v>
      </c>
      <c r="O44" s="4">
        <f t="shared" si="12"/>
        <v>0</v>
      </c>
      <c r="P44" s="4">
        <f t="shared" si="13"/>
        <v>0</v>
      </c>
      <c r="Q44" s="4">
        <f t="shared" si="14"/>
        <v>8.0000000000000002E-3</v>
      </c>
      <c r="R44" s="4">
        <f t="shared" si="15"/>
        <v>0</v>
      </c>
      <c r="S44" s="22">
        <v>0</v>
      </c>
    </row>
    <row r="45" spans="1:19" x14ac:dyDescent="0.3">
      <c r="A45" s="2" t="s">
        <v>34</v>
      </c>
      <c r="B45" s="2"/>
      <c r="C45">
        <v>10</v>
      </c>
      <c r="D45">
        <v>30</v>
      </c>
      <c r="E45">
        <v>0</v>
      </c>
      <c r="F45">
        <v>8</v>
      </c>
      <c r="G45" s="3">
        <f t="shared" si="8"/>
        <v>8</v>
      </c>
      <c r="H45">
        <v>0</v>
      </c>
      <c r="I45">
        <v>0</v>
      </c>
      <c r="J45">
        <v>5.0000000000000001E-3</v>
      </c>
      <c r="K45">
        <v>3.6</v>
      </c>
      <c r="L45" s="4">
        <f t="shared" si="9"/>
        <v>3</v>
      </c>
      <c r="M45" s="4">
        <f t="shared" si="10"/>
        <v>0</v>
      </c>
      <c r="N45" s="4">
        <f t="shared" si="11"/>
        <v>0.8</v>
      </c>
      <c r="O45" s="4">
        <f t="shared" si="12"/>
        <v>0</v>
      </c>
      <c r="P45" s="4">
        <f t="shared" si="13"/>
        <v>0</v>
      </c>
      <c r="Q45" s="4">
        <f t="shared" si="14"/>
        <v>5.0000000000000001E-4</v>
      </c>
      <c r="R45" s="4">
        <f t="shared" si="15"/>
        <v>0.36</v>
      </c>
      <c r="S45" s="22"/>
    </row>
    <row r="46" spans="1:19" x14ac:dyDescent="0.3">
      <c r="A46" s="2" t="s">
        <v>49</v>
      </c>
      <c r="B46" s="2" t="s">
        <v>212</v>
      </c>
      <c r="C46">
        <v>44</v>
      </c>
      <c r="D46">
        <v>120</v>
      </c>
      <c r="E46">
        <v>1</v>
      </c>
      <c r="F46">
        <v>23</v>
      </c>
      <c r="G46" s="3">
        <f t="shared" si="8"/>
        <v>22</v>
      </c>
      <c r="H46">
        <v>5</v>
      </c>
      <c r="I46">
        <v>1</v>
      </c>
      <c r="J46">
        <v>0.22</v>
      </c>
      <c r="K46">
        <v>0</v>
      </c>
      <c r="L46" s="4">
        <f t="shared" si="9"/>
        <v>2.7272727272727271</v>
      </c>
      <c r="M46" s="4">
        <f t="shared" si="10"/>
        <v>2.2727272727272728E-2</v>
      </c>
      <c r="N46" s="4">
        <f t="shared" si="11"/>
        <v>0.5</v>
      </c>
      <c r="O46" s="4">
        <f t="shared" si="12"/>
        <v>0.11363636363636363</v>
      </c>
      <c r="P46" s="4">
        <f t="shared" si="13"/>
        <v>2.2727272727272728E-2</v>
      </c>
      <c r="Q46" s="4">
        <f t="shared" si="14"/>
        <v>5.0000000000000001E-3</v>
      </c>
      <c r="R46" s="4">
        <f t="shared" si="15"/>
        <v>0</v>
      </c>
      <c r="S46" s="22">
        <v>1</v>
      </c>
    </row>
    <row r="47" spans="1:19" x14ac:dyDescent="0.3">
      <c r="A47" s="2" t="s">
        <v>151</v>
      </c>
      <c r="B47" s="2" t="s">
        <v>110</v>
      </c>
      <c r="C47">
        <v>50</v>
      </c>
      <c r="D47">
        <v>150</v>
      </c>
      <c r="E47">
        <v>2</v>
      </c>
      <c r="F47">
        <v>28</v>
      </c>
      <c r="G47" s="3">
        <f t="shared" si="8"/>
        <v>28</v>
      </c>
      <c r="H47">
        <v>5</v>
      </c>
      <c r="I47">
        <v>0</v>
      </c>
      <c r="J47">
        <v>0.24</v>
      </c>
      <c r="K47">
        <v>0</v>
      </c>
      <c r="L47" s="4">
        <f t="shared" si="9"/>
        <v>3</v>
      </c>
      <c r="M47" s="4">
        <f t="shared" si="10"/>
        <v>0.04</v>
      </c>
      <c r="N47" s="4">
        <f t="shared" si="11"/>
        <v>0.56000000000000005</v>
      </c>
      <c r="O47" s="4">
        <f t="shared" si="12"/>
        <v>0.1</v>
      </c>
      <c r="P47" s="4">
        <f t="shared" si="13"/>
        <v>0</v>
      </c>
      <c r="Q47" s="4">
        <f t="shared" si="14"/>
        <v>4.7999999999999996E-3</v>
      </c>
      <c r="R47" s="4">
        <f t="shared" si="15"/>
        <v>0</v>
      </c>
      <c r="S47" s="22"/>
    </row>
    <row r="48" spans="1:19" x14ac:dyDescent="0.3">
      <c r="A48" s="2" t="s">
        <v>32</v>
      </c>
      <c r="B48" s="2"/>
      <c r="C48" s="6">
        <v>400</v>
      </c>
      <c r="D48" s="3">
        <v>905.26315789473688</v>
      </c>
      <c r="E48" s="3">
        <v>38.947368421052637</v>
      </c>
      <c r="F48" s="3">
        <v>113.68421052631581</v>
      </c>
      <c r="G48" s="3">
        <f t="shared" si="8"/>
        <v>113.68421052631581</v>
      </c>
      <c r="H48" s="3">
        <v>25.263157894736842</v>
      </c>
      <c r="I48" s="6">
        <v>0</v>
      </c>
      <c r="J48" s="3">
        <v>2.1052631578947372</v>
      </c>
      <c r="K48" s="3">
        <v>211.57894736842107</v>
      </c>
      <c r="L48" s="4">
        <f t="shared" si="9"/>
        <v>2.263157894736842</v>
      </c>
      <c r="M48" s="4">
        <f t="shared" si="10"/>
        <v>9.736842105263159E-2</v>
      </c>
      <c r="N48" s="4">
        <f t="shared" si="11"/>
        <v>0.28421052631578952</v>
      </c>
      <c r="O48" s="4">
        <f t="shared" si="12"/>
        <v>6.3157894736842107E-2</v>
      </c>
      <c r="P48" s="4">
        <f t="shared" si="13"/>
        <v>0</v>
      </c>
      <c r="Q48" s="4">
        <f t="shared" si="14"/>
        <v>5.2631578947368429E-3</v>
      </c>
      <c r="R48" s="4">
        <f t="shared" si="15"/>
        <v>0.52894736842105272</v>
      </c>
      <c r="S48" s="22"/>
    </row>
    <row r="49" spans="1:19" x14ac:dyDescent="0.3">
      <c r="A49" s="2" t="s">
        <v>64</v>
      </c>
      <c r="B49" s="2"/>
      <c r="C49">
        <v>25</v>
      </c>
      <c r="D49">
        <v>90</v>
      </c>
      <c r="E49">
        <v>0</v>
      </c>
      <c r="F49">
        <v>22</v>
      </c>
      <c r="G49" s="3">
        <f t="shared" si="8"/>
        <v>22</v>
      </c>
      <c r="H49">
        <v>0</v>
      </c>
      <c r="I49">
        <v>0</v>
      </c>
      <c r="J49">
        <v>0.05</v>
      </c>
      <c r="K49">
        <v>0</v>
      </c>
      <c r="L49" s="4">
        <f t="shared" si="9"/>
        <v>3.6</v>
      </c>
      <c r="M49" s="4">
        <f t="shared" si="10"/>
        <v>0</v>
      </c>
      <c r="N49" s="4">
        <f t="shared" si="11"/>
        <v>0.88</v>
      </c>
      <c r="O49" s="4">
        <f t="shared" si="12"/>
        <v>0</v>
      </c>
      <c r="P49" s="4">
        <f t="shared" si="13"/>
        <v>0</v>
      </c>
      <c r="Q49" s="4">
        <f t="shared" si="14"/>
        <v>2E-3</v>
      </c>
      <c r="R49" s="4">
        <f t="shared" si="15"/>
        <v>0</v>
      </c>
      <c r="S49" s="22"/>
    </row>
    <row r="50" spans="1:19" x14ac:dyDescent="0.3">
      <c r="A50" s="2" t="s">
        <v>35</v>
      </c>
      <c r="B50" s="2" t="s">
        <v>132</v>
      </c>
      <c r="C50">
        <v>200</v>
      </c>
      <c r="D50">
        <v>174</v>
      </c>
      <c r="E50">
        <v>0.2</v>
      </c>
      <c r="F50">
        <v>40.299999999999997</v>
      </c>
      <c r="G50" s="3">
        <f t="shared" si="8"/>
        <v>36.299999999999997</v>
      </c>
      <c r="H50">
        <v>3.7</v>
      </c>
      <c r="I50">
        <v>4</v>
      </c>
      <c r="J50">
        <v>0.5</v>
      </c>
      <c r="K50">
        <v>154</v>
      </c>
      <c r="L50" s="4">
        <f t="shared" si="9"/>
        <v>0.87</v>
      </c>
      <c r="M50" s="4">
        <f t="shared" si="10"/>
        <v>1E-3</v>
      </c>
      <c r="N50" s="4">
        <f t="shared" si="11"/>
        <v>0.18149999999999999</v>
      </c>
      <c r="O50" s="4">
        <f t="shared" si="12"/>
        <v>1.8500000000000003E-2</v>
      </c>
      <c r="P50" s="4">
        <f t="shared" si="13"/>
        <v>0.02</v>
      </c>
      <c r="Q50" s="4">
        <f t="shared" si="14"/>
        <v>2.5000000000000001E-3</v>
      </c>
      <c r="R50" s="4">
        <f t="shared" si="15"/>
        <v>0.77</v>
      </c>
      <c r="S50" s="22">
        <v>3.23</v>
      </c>
    </row>
    <row r="51" spans="1:19" x14ac:dyDescent="0.3">
      <c r="A51" s="2" t="s">
        <v>25</v>
      </c>
      <c r="B51" s="2"/>
      <c r="C51">
        <v>145</v>
      </c>
      <c r="D51">
        <v>62</v>
      </c>
      <c r="E51">
        <v>0.4</v>
      </c>
      <c r="F51">
        <v>15.7</v>
      </c>
      <c r="G51" s="3">
        <f t="shared" si="8"/>
        <v>13.2</v>
      </c>
      <c r="H51">
        <v>0.7</v>
      </c>
      <c r="I51">
        <v>2.5</v>
      </c>
      <c r="J51">
        <v>0.1</v>
      </c>
      <c r="K51">
        <v>127.7</v>
      </c>
      <c r="L51" s="4">
        <f t="shared" si="9"/>
        <v>0.42758620689655175</v>
      </c>
      <c r="M51" s="4">
        <f t="shared" si="10"/>
        <v>2.7586206896551726E-3</v>
      </c>
      <c r="N51" s="4">
        <f t="shared" si="11"/>
        <v>9.103448275862068E-2</v>
      </c>
      <c r="O51" s="4">
        <f t="shared" si="12"/>
        <v>4.8275862068965511E-3</v>
      </c>
      <c r="P51" s="4">
        <f t="shared" si="13"/>
        <v>1.7241379310344827E-2</v>
      </c>
      <c r="Q51" s="4">
        <f t="shared" si="14"/>
        <v>6.8965517241379316E-4</v>
      </c>
      <c r="R51" s="4">
        <f t="shared" si="15"/>
        <v>0.88068965517241382</v>
      </c>
      <c r="S51" s="22"/>
    </row>
    <row r="52" spans="1:19" x14ac:dyDescent="0.3">
      <c r="A52" s="2" t="s">
        <v>28</v>
      </c>
      <c r="B52" s="2" t="s">
        <v>132</v>
      </c>
      <c r="C52">
        <v>80</v>
      </c>
      <c r="D52">
        <v>280</v>
      </c>
      <c r="E52">
        <v>1</v>
      </c>
      <c r="F52">
        <v>58</v>
      </c>
      <c r="G52" s="3">
        <f t="shared" si="8"/>
        <v>56</v>
      </c>
      <c r="H52">
        <v>10</v>
      </c>
      <c r="I52">
        <v>2</v>
      </c>
      <c r="J52">
        <v>0</v>
      </c>
      <c r="K52">
        <v>0</v>
      </c>
      <c r="L52" s="4">
        <f t="shared" si="9"/>
        <v>3.5</v>
      </c>
      <c r="M52" s="4">
        <f t="shared" si="10"/>
        <v>1.2500000000000001E-2</v>
      </c>
      <c r="N52" s="4">
        <f t="shared" si="11"/>
        <v>0.7</v>
      </c>
      <c r="O52" s="4">
        <f t="shared" si="12"/>
        <v>0.125</v>
      </c>
      <c r="P52" s="4">
        <f t="shared" si="13"/>
        <v>2.5000000000000001E-2</v>
      </c>
      <c r="Q52" s="4">
        <f t="shared" si="14"/>
        <v>0</v>
      </c>
      <c r="R52" s="4">
        <f t="shared" si="15"/>
        <v>0</v>
      </c>
      <c r="S52" s="22">
        <v>1.19</v>
      </c>
    </row>
    <row r="53" spans="1:19" x14ac:dyDescent="0.3">
      <c r="A53" s="2" t="s">
        <v>138</v>
      </c>
      <c r="B53" s="2" t="s">
        <v>132</v>
      </c>
      <c r="C53">
        <v>80</v>
      </c>
      <c r="D53">
        <v>290</v>
      </c>
      <c r="E53">
        <v>1</v>
      </c>
      <c r="F53">
        <v>61</v>
      </c>
      <c r="G53" s="3">
        <f t="shared" si="8"/>
        <v>61</v>
      </c>
      <c r="H53">
        <v>9</v>
      </c>
      <c r="I53">
        <v>0</v>
      </c>
      <c r="J53">
        <v>0</v>
      </c>
      <c r="K53">
        <v>0</v>
      </c>
      <c r="L53" s="4">
        <f t="shared" si="9"/>
        <v>3.625</v>
      </c>
      <c r="M53" s="4">
        <f t="shared" si="10"/>
        <v>1.2500000000000001E-2</v>
      </c>
      <c r="N53" s="4">
        <f t="shared" si="11"/>
        <v>0.76249999999999996</v>
      </c>
      <c r="O53" s="4">
        <f t="shared" si="12"/>
        <v>0.1125</v>
      </c>
      <c r="P53" s="4">
        <f t="shared" si="13"/>
        <v>0</v>
      </c>
      <c r="Q53" s="4">
        <f t="shared" si="14"/>
        <v>0</v>
      </c>
      <c r="R53" s="4">
        <f t="shared" si="15"/>
        <v>0</v>
      </c>
      <c r="S53" s="22">
        <v>1.19</v>
      </c>
    </row>
    <row r="54" spans="1:19" x14ac:dyDescent="0.3">
      <c r="A54" s="2" t="s">
        <v>118</v>
      </c>
      <c r="B54" s="2" t="s">
        <v>173</v>
      </c>
      <c r="C54">
        <v>100</v>
      </c>
      <c r="D54">
        <v>172</v>
      </c>
      <c r="E54">
        <v>9.3000000000000007</v>
      </c>
      <c r="F54">
        <v>0</v>
      </c>
      <c r="G54" s="3">
        <f t="shared" si="8"/>
        <v>0</v>
      </c>
      <c r="H54">
        <v>20.9</v>
      </c>
      <c r="I54">
        <v>0</v>
      </c>
      <c r="J54">
        <v>0.1</v>
      </c>
      <c r="K54">
        <v>93.7</v>
      </c>
      <c r="L54" s="4">
        <f t="shared" si="9"/>
        <v>1.72</v>
      </c>
      <c r="M54" s="4">
        <f t="shared" si="10"/>
        <v>9.3000000000000013E-2</v>
      </c>
      <c r="N54" s="4">
        <f t="shared" si="11"/>
        <v>0</v>
      </c>
      <c r="O54" s="4">
        <f t="shared" si="12"/>
        <v>0.20899999999999999</v>
      </c>
      <c r="P54" s="4">
        <f t="shared" si="13"/>
        <v>0</v>
      </c>
      <c r="Q54" s="4">
        <f t="shared" si="14"/>
        <v>1E-3</v>
      </c>
      <c r="R54" s="4">
        <f t="shared" si="15"/>
        <v>0.93700000000000006</v>
      </c>
      <c r="S54" s="22">
        <v>1.5</v>
      </c>
    </row>
    <row r="55" spans="1:19" x14ac:dyDescent="0.3">
      <c r="A55" s="2" t="s">
        <v>155</v>
      </c>
      <c r="B55" s="2" t="s">
        <v>132</v>
      </c>
      <c r="C55">
        <v>25</v>
      </c>
      <c r="D55">
        <v>60</v>
      </c>
      <c r="E55">
        <v>5</v>
      </c>
      <c r="F55">
        <v>0.5</v>
      </c>
      <c r="G55" s="3">
        <f t="shared" si="8"/>
        <v>0.5</v>
      </c>
      <c r="H55">
        <v>5</v>
      </c>
      <c r="I55">
        <v>0</v>
      </c>
      <c r="J55">
        <v>0.13500000000000001</v>
      </c>
      <c r="K55">
        <v>12.3</v>
      </c>
      <c r="L55" s="4">
        <f t="shared" si="9"/>
        <v>2.4</v>
      </c>
      <c r="M55" s="4">
        <f t="shared" si="10"/>
        <v>0.2</v>
      </c>
      <c r="N55" s="4">
        <f t="shared" si="11"/>
        <v>0.02</v>
      </c>
      <c r="O55" s="4">
        <f t="shared" si="12"/>
        <v>0.2</v>
      </c>
      <c r="P55" s="4">
        <f t="shared" si="13"/>
        <v>0</v>
      </c>
      <c r="Q55" s="4">
        <f t="shared" si="14"/>
        <v>5.4000000000000003E-3</v>
      </c>
      <c r="R55" s="4">
        <f t="shared" si="15"/>
        <v>0.49200000000000005</v>
      </c>
      <c r="S55" s="22">
        <v>1.46</v>
      </c>
    </row>
    <row r="56" spans="1:19" x14ac:dyDescent="0.3">
      <c r="A56" s="2" t="s">
        <v>169</v>
      </c>
      <c r="B56" s="2" t="s">
        <v>132</v>
      </c>
      <c r="C56">
        <v>25</v>
      </c>
      <c r="D56">
        <v>60</v>
      </c>
      <c r="E56">
        <v>5</v>
      </c>
      <c r="F56">
        <v>0.5</v>
      </c>
      <c r="G56" s="3">
        <f t="shared" si="8"/>
        <v>0.5</v>
      </c>
      <c r="H56">
        <v>5</v>
      </c>
      <c r="I56">
        <v>0</v>
      </c>
      <c r="J56">
        <v>0.13500000000000001</v>
      </c>
      <c r="K56">
        <v>12.3</v>
      </c>
      <c r="L56" s="4">
        <f t="shared" si="9"/>
        <v>2.4</v>
      </c>
      <c r="M56" s="4">
        <f t="shared" si="10"/>
        <v>0.2</v>
      </c>
      <c r="N56" s="4">
        <f t="shared" si="11"/>
        <v>0.02</v>
      </c>
      <c r="O56" s="4">
        <f t="shared" si="12"/>
        <v>0.2</v>
      </c>
      <c r="P56" s="4">
        <f t="shared" si="13"/>
        <v>0</v>
      </c>
      <c r="Q56" s="4">
        <f t="shared" si="14"/>
        <v>5.4000000000000003E-3</v>
      </c>
      <c r="R56" s="4">
        <f t="shared" si="15"/>
        <v>0.49200000000000005</v>
      </c>
      <c r="S56" s="22">
        <v>1.46</v>
      </c>
    </row>
    <row r="57" spans="1:19" x14ac:dyDescent="0.3">
      <c r="A57" s="2" t="s">
        <v>62</v>
      </c>
      <c r="B57" s="2"/>
      <c r="C57">
        <v>7</v>
      </c>
      <c r="D57">
        <v>0</v>
      </c>
      <c r="E57">
        <v>0</v>
      </c>
      <c r="F57">
        <v>0</v>
      </c>
      <c r="G57" s="3">
        <f t="shared" si="8"/>
        <v>0</v>
      </c>
      <c r="H57">
        <v>0</v>
      </c>
      <c r="I57">
        <v>0</v>
      </c>
      <c r="J57">
        <v>2.7</v>
      </c>
      <c r="K57">
        <v>0</v>
      </c>
      <c r="L57" s="4">
        <f t="shared" si="9"/>
        <v>0</v>
      </c>
      <c r="M57" s="4">
        <f t="shared" si="10"/>
        <v>0</v>
      </c>
      <c r="N57" s="4">
        <f t="shared" si="11"/>
        <v>0</v>
      </c>
      <c r="O57" s="4">
        <f t="shared" si="12"/>
        <v>0</v>
      </c>
      <c r="P57" s="4">
        <f t="shared" si="13"/>
        <v>0</v>
      </c>
      <c r="Q57" s="4">
        <f t="shared" si="14"/>
        <v>0.38571428571428573</v>
      </c>
      <c r="R57" s="4">
        <f t="shared" si="15"/>
        <v>0</v>
      </c>
      <c r="S57" s="22"/>
    </row>
    <row r="58" spans="1:19" x14ac:dyDescent="0.3">
      <c r="A58" s="2" t="s">
        <v>148</v>
      </c>
      <c r="B58" s="2" t="s">
        <v>132</v>
      </c>
      <c r="C58">
        <v>50</v>
      </c>
      <c r="D58">
        <v>80</v>
      </c>
      <c r="E58">
        <v>5</v>
      </c>
      <c r="F58">
        <v>2</v>
      </c>
      <c r="G58" s="3">
        <f t="shared" si="8"/>
        <v>2</v>
      </c>
      <c r="H58">
        <v>7</v>
      </c>
      <c r="I58">
        <v>0</v>
      </c>
      <c r="J58">
        <v>0.5</v>
      </c>
      <c r="K58">
        <v>0</v>
      </c>
      <c r="L58" s="4">
        <f t="shared" si="9"/>
        <v>1.6</v>
      </c>
      <c r="M58" s="4">
        <f t="shared" si="10"/>
        <v>0.1</v>
      </c>
      <c r="N58" s="4">
        <f t="shared" si="11"/>
        <v>0.04</v>
      </c>
      <c r="O58" s="4">
        <f t="shared" si="12"/>
        <v>0.14000000000000001</v>
      </c>
      <c r="P58" s="4">
        <f t="shared" si="13"/>
        <v>0</v>
      </c>
      <c r="Q58" s="4">
        <f t="shared" si="14"/>
        <v>0.01</v>
      </c>
      <c r="R58" s="4">
        <f t="shared" si="15"/>
        <v>0</v>
      </c>
      <c r="S58" s="22">
        <v>1.3</v>
      </c>
    </row>
    <row r="59" spans="1:19" x14ac:dyDescent="0.3">
      <c r="A59" s="2" t="s">
        <v>50</v>
      </c>
      <c r="B59" s="2"/>
      <c r="C59">
        <v>150</v>
      </c>
      <c r="D59">
        <v>309</v>
      </c>
      <c r="E59">
        <v>18.5</v>
      </c>
      <c r="F59">
        <v>0</v>
      </c>
      <c r="G59" s="3">
        <f t="shared" si="8"/>
        <v>0</v>
      </c>
      <c r="H59">
        <v>33.1</v>
      </c>
      <c r="I59">
        <v>0</v>
      </c>
      <c r="J59">
        <v>0.1</v>
      </c>
      <c r="K59">
        <v>97.1</v>
      </c>
      <c r="L59" s="4">
        <f t="shared" si="9"/>
        <v>2.06</v>
      </c>
      <c r="M59" s="4">
        <f t="shared" si="10"/>
        <v>0.12333333333333334</v>
      </c>
      <c r="N59" s="4">
        <f t="shared" si="11"/>
        <v>0</v>
      </c>
      <c r="O59" s="4">
        <f t="shared" si="12"/>
        <v>0.22066666666666668</v>
      </c>
      <c r="P59" s="4">
        <f t="shared" si="13"/>
        <v>0</v>
      </c>
      <c r="Q59" s="4">
        <f t="shared" si="14"/>
        <v>6.6666666666666675E-4</v>
      </c>
      <c r="R59" s="4">
        <f t="shared" si="15"/>
        <v>0.64733333333333332</v>
      </c>
      <c r="S59" s="22"/>
    </row>
    <row r="60" spans="1:19" x14ac:dyDescent="0.3">
      <c r="A60" s="2" t="s">
        <v>129</v>
      </c>
      <c r="B60" s="2" t="s">
        <v>110</v>
      </c>
      <c r="C60">
        <v>15</v>
      </c>
      <c r="D60">
        <v>60</v>
      </c>
      <c r="E60">
        <v>6</v>
      </c>
      <c r="F60">
        <v>0.5</v>
      </c>
      <c r="G60" s="3">
        <f t="shared" si="8"/>
        <v>0.5</v>
      </c>
      <c r="H60">
        <v>0</v>
      </c>
      <c r="I60">
        <v>0</v>
      </c>
      <c r="J60">
        <v>0.105</v>
      </c>
      <c r="K60">
        <v>0</v>
      </c>
      <c r="L60" s="4">
        <f t="shared" si="9"/>
        <v>4</v>
      </c>
      <c r="M60" s="4">
        <f t="shared" si="10"/>
        <v>0.4</v>
      </c>
      <c r="N60" s="4">
        <f t="shared" si="11"/>
        <v>3.3333333333333333E-2</v>
      </c>
      <c r="O60" s="4">
        <f t="shared" si="12"/>
        <v>0</v>
      </c>
      <c r="P60" s="4">
        <f t="shared" si="13"/>
        <v>0</v>
      </c>
      <c r="Q60" s="4">
        <f t="shared" si="14"/>
        <v>7.0000000000000001E-3</v>
      </c>
      <c r="R60" s="4">
        <f t="shared" si="15"/>
        <v>0</v>
      </c>
      <c r="S60" s="22"/>
    </row>
    <row r="61" spans="1:19" x14ac:dyDescent="0.3">
      <c r="A61" s="2" t="s">
        <v>46</v>
      </c>
      <c r="B61" s="2" t="s">
        <v>110</v>
      </c>
      <c r="C61">
        <v>15</v>
      </c>
      <c r="D61">
        <v>15</v>
      </c>
      <c r="E61">
        <v>0</v>
      </c>
      <c r="F61">
        <v>3</v>
      </c>
      <c r="G61" s="3">
        <f t="shared" si="8"/>
        <v>2.5</v>
      </c>
      <c r="H61">
        <v>0.5</v>
      </c>
      <c r="I61">
        <v>0.5</v>
      </c>
      <c r="J61">
        <v>0.17</v>
      </c>
      <c r="K61">
        <v>0</v>
      </c>
      <c r="L61" s="4">
        <f t="shared" si="9"/>
        <v>1</v>
      </c>
      <c r="M61" s="4">
        <f t="shared" si="10"/>
        <v>0</v>
      </c>
      <c r="N61" s="4">
        <f t="shared" si="11"/>
        <v>0.16666666666666666</v>
      </c>
      <c r="O61" s="4">
        <f t="shared" si="12"/>
        <v>3.3333333333333333E-2</v>
      </c>
      <c r="P61" s="4">
        <f t="shared" si="13"/>
        <v>3.3333333333333333E-2</v>
      </c>
      <c r="Q61" s="4">
        <f t="shared" si="14"/>
        <v>1.1333333333333334E-2</v>
      </c>
      <c r="R61" s="4">
        <f t="shared" si="15"/>
        <v>0</v>
      </c>
      <c r="S61" s="22">
        <v>0</v>
      </c>
    </row>
    <row r="62" spans="1:19" x14ac:dyDescent="0.3">
      <c r="A62" s="2" t="s">
        <v>55</v>
      </c>
      <c r="B62" s="2"/>
      <c r="C62">
        <v>18</v>
      </c>
      <c r="D62">
        <v>16</v>
      </c>
      <c r="E62">
        <v>0.1</v>
      </c>
      <c r="F62">
        <v>2.8</v>
      </c>
      <c r="G62" s="3">
        <f t="shared" si="8"/>
        <v>2.6999999999999997</v>
      </c>
      <c r="H62">
        <v>1.1000000000000001</v>
      </c>
      <c r="I62">
        <v>0.1</v>
      </c>
      <c r="J62">
        <v>0.7</v>
      </c>
      <c r="K62">
        <v>12.2</v>
      </c>
      <c r="L62" s="4">
        <f t="shared" si="9"/>
        <v>0.88888888888888884</v>
      </c>
      <c r="M62" s="4">
        <f t="shared" si="10"/>
        <v>5.5555555555555558E-3</v>
      </c>
      <c r="N62" s="4">
        <f t="shared" si="11"/>
        <v>0.15</v>
      </c>
      <c r="O62" s="4">
        <f t="shared" si="12"/>
        <v>6.1111111111111116E-2</v>
      </c>
      <c r="P62" s="4">
        <f t="shared" si="13"/>
        <v>5.5555555555555558E-3</v>
      </c>
      <c r="Q62" s="4">
        <f t="shared" si="14"/>
        <v>3.888888888888889E-2</v>
      </c>
      <c r="R62" s="4">
        <f t="shared" si="15"/>
        <v>0.6777777777777777</v>
      </c>
      <c r="S62" s="22">
        <v>0</v>
      </c>
    </row>
    <row r="63" spans="1:19" x14ac:dyDescent="0.3">
      <c r="A63" s="2" t="s">
        <v>24</v>
      </c>
      <c r="B63" s="2"/>
      <c r="C63">
        <v>286</v>
      </c>
      <c r="D63">
        <v>85.8</v>
      </c>
      <c r="E63">
        <v>0.4</v>
      </c>
      <c r="F63">
        <v>21.6</v>
      </c>
      <c r="G63" s="3">
        <f t="shared" si="8"/>
        <v>20.5</v>
      </c>
      <c r="H63">
        <v>1.7</v>
      </c>
      <c r="I63">
        <v>1.1000000000000001</v>
      </c>
      <c r="J63">
        <v>0.1</v>
      </c>
      <c r="K63">
        <v>261.5</v>
      </c>
      <c r="L63" s="4">
        <f t="shared" si="9"/>
        <v>0.3</v>
      </c>
      <c r="M63" s="4">
        <f t="shared" si="10"/>
        <v>1.3986013986013986E-3</v>
      </c>
      <c r="N63" s="4">
        <f t="shared" si="11"/>
        <v>7.167832167832168E-2</v>
      </c>
      <c r="O63" s="4">
        <f t="shared" si="12"/>
        <v>5.9440559440559438E-3</v>
      </c>
      <c r="P63" s="4">
        <f t="shared" si="13"/>
        <v>3.8461538461538464E-3</v>
      </c>
      <c r="Q63" s="4">
        <f t="shared" si="14"/>
        <v>3.4965034965034965E-4</v>
      </c>
      <c r="R63" s="4">
        <f t="shared" si="15"/>
        <v>0.91433566433566438</v>
      </c>
      <c r="S63" s="22"/>
    </row>
    <row r="64" spans="1:19" x14ac:dyDescent="0.3">
      <c r="A64" s="2" t="s">
        <v>60</v>
      </c>
      <c r="B64" s="2"/>
      <c r="C64">
        <v>100</v>
      </c>
      <c r="D64">
        <v>18</v>
      </c>
      <c r="E64">
        <v>0.2</v>
      </c>
      <c r="F64">
        <v>3.9</v>
      </c>
      <c r="G64" s="3">
        <f t="shared" si="8"/>
        <v>2.7</v>
      </c>
      <c r="H64">
        <v>0.9</v>
      </c>
      <c r="I64">
        <v>1.2</v>
      </c>
      <c r="J64">
        <v>0.5</v>
      </c>
      <c r="K64">
        <v>93</v>
      </c>
      <c r="L64" s="4">
        <f t="shared" si="9"/>
        <v>0.18</v>
      </c>
      <c r="M64" s="4">
        <f t="shared" si="10"/>
        <v>2E-3</v>
      </c>
      <c r="N64" s="4">
        <f t="shared" si="11"/>
        <v>2.7000000000000003E-2</v>
      </c>
      <c r="O64" s="4">
        <f t="shared" si="12"/>
        <v>9.0000000000000011E-3</v>
      </c>
      <c r="P64" s="4">
        <f t="shared" si="13"/>
        <v>1.2E-2</v>
      </c>
      <c r="Q64" s="4">
        <f t="shared" si="14"/>
        <v>5.0000000000000001E-3</v>
      </c>
      <c r="R64" s="4">
        <f t="shared" si="15"/>
        <v>0.93</v>
      </c>
      <c r="S64" s="22">
        <v>0.4</v>
      </c>
    </row>
    <row r="65" spans="1:19" x14ac:dyDescent="0.3">
      <c r="A65" s="2" t="s">
        <v>149</v>
      </c>
      <c r="B65" s="2" t="s">
        <v>132</v>
      </c>
      <c r="C65">
        <v>85</v>
      </c>
      <c r="D65">
        <v>50</v>
      </c>
      <c r="E65">
        <v>1</v>
      </c>
      <c r="F65">
        <v>8</v>
      </c>
      <c r="G65" s="3">
        <f t="shared" ref="G65:G70" si="16">F65-I65</f>
        <v>5</v>
      </c>
      <c r="H65">
        <v>2</v>
      </c>
      <c r="I65">
        <v>3</v>
      </c>
      <c r="J65">
        <v>0.02</v>
      </c>
      <c r="K65">
        <v>0</v>
      </c>
      <c r="L65" s="4">
        <f t="shared" ref="L65:L70" si="17">D65/C65</f>
        <v>0.58823529411764708</v>
      </c>
      <c r="M65" s="4">
        <f t="shared" ref="M65:M70" si="18">E65/C65</f>
        <v>1.1764705882352941E-2</v>
      </c>
      <c r="N65" s="4">
        <f t="shared" ref="N65:N70" si="19">G65/C65</f>
        <v>5.8823529411764705E-2</v>
      </c>
      <c r="O65" s="4">
        <f t="shared" ref="O65:O70" si="20">H65/C65</f>
        <v>2.3529411764705882E-2</v>
      </c>
      <c r="P65" s="4">
        <f t="shared" ref="P65:P70" si="21">I65/C65</f>
        <v>3.5294117647058823E-2</v>
      </c>
      <c r="Q65" s="4">
        <f t="shared" ref="Q65:Q70" si="22">J65/C65</f>
        <v>2.3529411764705883E-4</v>
      </c>
      <c r="R65" s="4">
        <f t="shared" ref="R65:R70" si="23">K65/C65</f>
        <v>0</v>
      </c>
      <c r="S65" s="22"/>
    </row>
    <row r="66" spans="1:19" x14ac:dyDescent="0.3">
      <c r="A66" s="2" t="s">
        <v>152</v>
      </c>
      <c r="B66" s="2"/>
      <c r="C66">
        <v>100</v>
      </c>
      <c r="D66">
        <v>136</v>
      </c>
      <c r="E66">
        <v>4.7</v>
      </c>
      <c r="F66">
        <v>1.2</v>
      </c>
      <c r="G66" s="3">
        <f t="shared" si="16"/>
        <v>1.2</v>
      </c>
      <c r="H66">
        <v>22.12</v>
      </c>
      <c r="I66">
        <v>0</v>
      </c>
      <c r="J66">
        <v>68</v>
      </c>
      <c r="K66">
        <v>72</v>
      </c>
      <c r="L66" s="4">
        <f t="shared" si="17"/>
        <v>1.36</v>
      </c>
      <c r="M66" s="4">
        <f t="shared" si="18"/>
        <v>4.7E-2</v>
      </c>
      <c r="N66" s="4">
        <f t="shared" si="19"/>
        <v>1.2E-2</v>
      </c>
      <c r="O66" s="4">
        <f t="shared" si="20"/>
        <v>0.22120000000000001</v>
      </c>
      <c r="P66" s="4">
        <f t="shared" si="21"/>
        <v>0</v>
      </c>
      <c r="Q66" s="4">
        <f t="shared" si="22"/>
        <v>0.68</v>
      </c>
      <c r="R66" s="4">
        <f t="shared" si="23"/>
        <v>0.72</v>
      </c>
      <c r="S66" s="22"/>
    </row>
    <row r="67" spans="1:19" x14ac:dyDescent="0.3">
      <c r="A67" s="2" t="s">
        <v>154</v>
      </c>
      <c r="B67" s="2"/>
      <c r="C67">
        <v>240</v>
      </c>
      <c r="D67">
        <v>50</v>
      </c>
      <c r="E67">
        <v>0</v>
      </c>
      <c r="F67">
        <v>12</v>
      </c>
      <c r="G67" s="3">
        <f t="shared" si="16"/>
        <v>12</v>
      </c>
      <c r="H67">
        <v>0</v>
      </c>
      <c r="I67">
        <v>0</v>
      </c>
      <c r="J67">
        <v>7.4999999999999997E-2</v>
      </c>
      <c r="K67">
        <v>240</v>
      </c>
      <c r="L67" s="4">
        <f t="shared" si="17"/>
        <v>0.20833333333333334</v>
      </c>
      <c r="M67" s="4">
        <f t="shared" si="18"/>
        <v>0</v>
      </c>
      <c r="N67" s="4">
        <f t="shared" si="19"/>
        <v>0.05</v>
      </c>
      <c r="O67" s="4">
        <f t="shared" si="20"/>
        <v>0</v>
      </c>
      <c r="P67" s="4">
        <f t="shared" si="21"/>
        <v>0</v>
      </c>
      <c r="Q67" s="4">
        <f t="shared" si="22"/>
        <v>3.1250000000000001E-4</v>
      </c>
      <c r="R67" s="4">
        <f t="shared" si="23"/>
        <v>1</v>
      </c>
      <c r="S67" s="22">
        <v>0.3</v>
      </c>
    </row>
    <row r="68" spans="1:19" x14ac:dyDescent="0.3">
      <c r="A68" s="2" t="s">
        <v>65</v>
      </c>
      <c r="B68" s="2"/>
      <c r="C68">
        <v>174</v>
      </c>
      <c r="D68">
        <v>221</v>
      </c>
      <c r="E68">
        <v>6.3</v>
      </c>
      <c r="F68">
        <v>37.6</v>
      </c>
      <c r="G68" s="3">
        <f t="shared" si="16"/>
        <v>37.6</v>
      </c>
      <c r="H68">
        <v>5.2</v>
      </c>
      <c r="I68">
        <v>0</v>
      </c>
      <c r="J68">
        <v>0.1</v>
      </c>
      <c r="K68">
        <v>123.9</v>
      </c>
      <c r="L68" s="4">
        <f t="shared" si="17"/>
        <v>1.2701149425287357</v>
      </c>
      <c r="M68" s="4">
        <f t="shared" si="18"/>
        <v>3.6206896551724134E-2</v>
      </c>
      <c r="N68" s="4">
        <f t="shared" si="19"/>
        <v>0.2160919540229885</v>
      </c>
      <c r="O68" s="4">
        <f t="shared" si="20"/>
        <v>2.9885057471264367E-2</v>
      </c>
      <c r="P68" s="4">
        <f t="shared" si="21"/>
        <v>0</v>
      </c>
      <c r="Q68" s="4">
        <f t="shared" si="22"/>
        <v>5.7471264367816091E-4</v>
      </c>
      <c r="R68" s="4">
        <f t="shared" si="23"/>
        <v>0.71206896551724141</v>
      </c>
      <c r="S68" s="22">
        <v>0.88</v>
      </c>
    </row>
    <row r="69" spans="1:19" x14ac:dyDescent="0.3">
      <c r="A69" s="2" t="s">
        <v>37</v>
      </c>
      <c r="B69" s="2"/>
      <c r="C69">
        <v>156</v>
      </c>
      <c r="D69">
        <v>55</v>
      </c>
      <c r="E69">
        <v>0.3</v>
      </c>
      <c r="F69">
        <v>12.8</v>
      </c>
      <c r="G69" s="3">
        <f t="shared" si="16"/>
        <v>8.1000000000000014</v>
      </c>
      <c r="H69">
        <v>1.2</v>
      </c>
      <c r="I69">
        <v>4.7</v>
      </c>
      <c r="J69">
        <v>0.5</v>
      </c>
      <c r="K69">
        <v>140.69999999999999</v>
      </c>
      <c r="L69" s="4">
        <f t="shared" si="17"/>
        <v>0.35256410256410259</v>
      </c>
      <c r="M69" s="4">
        <f t="shared" si="18"/>
        <v>1.923076923076923E-3</v>
      </c>
      <c r="N69" s="4">
        <f t="shared" si="19"/>
        <v>5.1923076923076933E-2</v>
      </c>
      <c r="O69" s="4">
        <f t="shared" si="20"/>
        <v>7.6923076923076919E-3</v>
      </c>
      <c r="P69" s="4">
        <f t="shared" si="21"/>
        <v>3.0128205128205129E-2</v>
      </c>
      <c r="Q69" s="4">
        <f t="shared" si="22"/>
        <v>3.205128205128205E-3</v>
      </c>
      <c r="R69" s="4">
        <f t="shared" si="23"/>
        <v>0.90192307692307683</v>
      </c>
      <c r="S69" s="22">
        <v>0.5</v>
      </c>
    </row>
    <row r="70" spans="1:19" x14ac:dyDescent="0.3">
      <c r="A70" s="2" t="s">
        <v>36</v>
      </c>
      <c r="B70" s="2"/>
      <c r="C70">
        <v>128</v>
      </c>
      <c r="D70">
        <v>53</v>
      </c>
      <c r="E70">
        <v>0.3</v>
      </c>
      <c r="F70">
        <v>12.3</v>
      </c>
      <c r="G70" s="3">
        <f t="shared" si="16"/>
        <v>8.7000000000000011</v>
      </c>
      <c r="H70">
        <v>1.2</v>
      </c>
      <c r="I70">
        <v>3.6</v>
      </c>
      <c r="J70">
        <v>0.1</v>
      </c>
      <c r="K70">
        <v>113</v>
      </c>
      <c r="L70" s="4">
        <f t="shared" si="17"/>
        <v>0.4140625</v>
      </c>
      <c r="M70" s="4">
        <f t="shared" si="18"/>
        <v>2.3437499999999999E-3</v>
      </c>
      <c r="N70" s="4">
        <f t="shared" si="19"/>
        <v>6.7968750000000008E-2</v>
      </c>
      <c r="O70" s="4">
        <f t="shared" si="20"/>
        <v>9.3749999999999997E-3</v>
      </c>
      <c r="P70" s="4">
        <f t="shared" si="21"/>
        <v>2.8125000000000001E-2</v>
      </c>
      <c r="Q70" s="4">
        <f t="shared" si="22"/>
        <v>7.8125000000000004E-4</v>
      </c>
      <c r="R70" s="4">
        <f t="shared" si="23"/>
        <v>0.8828125</v>
      </c>
      <c r="S70" s="22">
        <v>0.5</v>
      </c>
    </row>
  </sheetData>
  <sortState xmlns:xlrd2="http://schemas.microsoft.com/office/spreadsheetml/2017/richdata2" ref="A2:R52">
    <sortCondition ref="A2:A5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3CAD-7DF2-45B5-9CA6-79228C106FBF}">
  <sheetPr codeName="Hoja1"/>
  <dimension ref="A1:H57"/>
  <sheetViews>
    <sheetView zoomScale="115" zoomScaleNormal="115" workbookViewId="0">
      <selection activeCell="G57" sqref="G57"/>
    </sheetView>
  </sheetViews>
  <sheetFormatPr defaultColWidth="11.5546875" defaultRowHeight="14.4" x14ac:dyDescent="0.3"/>
  <cols>
    <col min="1" max="1" width="23.44140625" bestFit="1" customWidth="1"/>
    <col min="3" max="3" width="13.6640625" customWidth="1"/>
    <col min="4" max="4" width="6.88671875" bestFit="1" customWidth="1"/>
    <col min="5" max="5" width="11.109375" bestFit="1" customWidth="1"/>
    <col min="6" max="6" width="7.5546875" bestFit="1" customWidth="1"/>
    <col min="7" max="7" width="17.6640625" customWidth="1"/>
    <col min="8" max="8" width="16.109375" bestFit="1" customWidth="1"/>
  </cols>
  <sheetData>
    <row r="1" spans="1:8" x14ac:dyDescent="0.3">
      <c r="A1" t="s">
        <v>100</v>
      </c>
      <c r="B1" t="s">
        <v>101</v>
      </c>
      <c r="C1" t="s">
        <v>125</v>
      </c>
      <c r="D1" t="s">
        <v>126</v>
      </c>
      <c r="E1" t="s">
        <v>102</v>
      </c>
      <c r="F1" t="s">
        <v>103</v>
      </c>
      <c r="G1" t="s">
        <v>8</v>
      </c>
      <c r="H1" t="s">
        <v>104</v>
      </c>
    </row>
    <row r="2" spans="1:8" x14ac:dyDescent="0.3">
      <c r="A2" t="s">
        <v>27</v>
      </c>
      <c r="B2" t="s">
        <v>105</v>
      </c>
      <c r="E2">
        <v>2</v>
      </c>
      <c r="F2">
        <v>1075</v>
      </c>
      <c r="G2">
        <v>4246</v>
      </c>
      <c r="H2" s="10">
        <f t="shared" ref="H2:H44" si="0">G2/F2</f>
        <v>3.9497674418604651</v>
      </c>
    </row>
    <row r="3" spans="1:8" x14ac:dyDescent="0.3">
      <c r="A3" t="s">
        <v>40</v>
      </c>
      <c r="B3" t="s">
        <v>161</v>
      </c>
      <c r="C3" t="s">
        <v>132</v>
      </c>
      <c r="E3">
        <v>1</v>
      </c>
      <c r="F3">
        <v>1000</v>
      </c>
      <c r="G3">
        <v>3590</v>
      </c>
      <c r="H3" s="10">
        <f t="shared" si="0"/>
        <v>3.59</v>
      </c>
    </row>
    <row r="4" spans="1:8" x14ac:dyDescent="0.3">
      <c r="A4" t="s">
        <v>56</v>
      </c>
      <c r="B4" t="s">
        <v>162</v>
      </c>
      <c r="C4" t="s">
        <v>132</v>
      </c>
      <c r="E4">
        <v>1</v>
      </c>
      <c r="F4">
        <v>170</v>
      </c>
      <c r="G4">
        <v>4290</v>
      </c>
      <c r="H4" s="10">
        <f t="shared" si="0"/>
        <v>25.235294117647058</v>
      </c>
    </row>
    <row r="5" spans="1:8" x14ac:dyDescent="0.3">
      <c r="A5" t="s">
        <v>9</v>
      </c>
      <c r="B5" t="s">
        <v>105</v>
      </c>
      <c r="E5">
        <v>13</v>
      </c>
      <c r="F5">
        <v>1910</v>
      </c>
      <c r="G5">
        <v>4489</v>
      </c>
      <c r="H5" s="10">
        <f t="shared" si="0"/>
        <v>2.3502617801047121</v>
      </c>
    </row>
    <row r="6" spans="1:8" x14ac:dyDescent="0.3">
      <c r="A6" t="s">
        <v>63</v>
      </c>
      <c r="B6" t="s">
        <v>113</v>
      </c>
      <c r="E6">
        <v>1</v>
      </c>
      <c r="F6">
        <v>450</v>
      </c>
      <c r="G6">
        <v>2990</v>
      </c>
      <c r="H6" s="10">
        <f t="shared" si="0"/>
        <v>6.6444444444444448</v>
      </c>
    </row>
    <row r="7" spans="1:8" x14ac:dyDescent="0.3">
      <c r="A7" t="s">
        <v>61</v>
      </c>
      <c r="B7" t="s">
        <v>112</v>
      </c>
      <c r="E7">
        <v>1</v>
      </c>
      <c r="F7">
        <v>200</v>
      </c>
      <c r="G7">
        <v>3250</v>
      </c>
      <c r="H7" s="10">
        <f t="shared" si="0"/>
        <v>16.25</v>
      </c>
    </row>
    <row r="8" spans="1:8" x14ac:dyDescent="0.3">
      <c r="A8" t="s">
        <v>69</v>
      </c>
      <c r="B8" t="s">
        <v>132</v>
      </c>
      <c r="E8">
        <v>1</v>
      </c>
      <c r="F8">
        <v>230</v>
      </c>
      <c r="G8">
        <v>3690</v>
      </c>
      <c r="H8" s="10">
        <f t="shared" si="0"/>
        <v>16.043478260869566</v>
      </c>
    </row>
    <row r="9" spans="1:8" x14ac:dyDescent="0.3">
      <c r="A9" t="s">
        <v>128</v>
      </c>
      <c r="B9" t="s">
        <v>105</v>
      </c>
      <c r="C9" t="s">
        <v>110</v>
      </c>
      <c r="D9">
        <v>2021</v>
      </c>
      <c r="E9">
        <v>1</v>
      </c>
      <c r="F9">
        <v>200</v>
      </c>
      <c r="G9">
        <v>1500</v>
      </c>
      <c r="H9" s="10">
        <f t="shared" si="0"/>
        <v>7.5</v>
      </c>
    </row>
    <row r="10" spans="1:8" x14ac:dyDescent="0.3">
      <c r="A10" t="s">
        <v>124</v>
      </c>
      <c r="B10" t="s">
        <v>110</v>
      </c>
      <c r="E10">
        <v>1</v>
      </c>
      <c r="F10">
        <v>500</v>
      </c>
      <c r="G10">
        <v>6250</v>
      </c>
      <c r="H10" s="10">
        <f t="shared" si="0"/>
        <v>12.5</v>
      </c>
    </row>
    <row r="11" spans="1:8" x14ac:dyDescent="0.3">
      <c r="A11" t="s">
        <v>23</v>
      </c>
      <c r="B11" t="s">
        <v>105</v>
      </c>
      <c r="E11">
        <v>1</v>
      </c>
      <c r="F11">
        <v>400</v>
      </c>
      <c r="G11">
        <v>3600</v>
      </c>
      <c r="H11" s="10">
        <f t="shared" si="0"/>
        <v>9</v>
      </c>
    </row>
    <row r="12" spans="1:8" x14ac:dyDescent="0.3">
      <c r="A12" t="s">
        <v>119</v>
      </c>
      <c r="B12" t="s">
        <v>120</v>
      </c>
      <c r="E12">
        <v>1</v>
      </c>
      <c r="F12">
        <v>382</v>
      </c>
      <c r="G12">
        <v>4450</v>
      </c>
      <c r="H12" s="10">
        <f t="shared" si="0"/>
        <v>11.649214659685864</v>
      </c>
    </row>
    <row r="13" spans="1:8" x14ac:dyDescent="0.3">
      <c r="A13" t="s">
        <v>67</v>
      </c>
      <c r="B13" t="s">
        <v>110</v>
      </c>
      <c r="E13">
        <v>1</v>
      </c>
      <c r="F13">
        <v>500</v>
      </c>
      <c r="G13">
        <v>6400</v>
      </c>
      <c r="H13" s="10">
        <f t="shared" si="0"/>
        <v>12.8</v>
      </c>
    </row>
    <row r="14" spans="1:8" x14ac:dyDescent="0.3">
      <c r="A14" t="s">
        <v>44</v>
      </c>
      <c r="B14" t="s">
        <v>166</v>
      </c>
      <c r="C14" t="s">
        <v>132</v>
      </c>
      <c r="D14">
        <v>2021</v>
      </c>
      <c r="E14">
        <v>30</v>
      </c>
      <c r="F14">
        <v>1200</v>
      </c>
      <c r="G14">
        <v>11590</v>
      </c>
      <c r="H14" s="10">
        <f t="shared" si="0"/>
        <v>9.6583333333333332</v>
      </c>
    </row>
    <row r="15" spans="1:8" x14ac:dyDescent="0.3">
      <c r="A15" t="s">
        <v>33</v>
      </c>
      <c r="B15" t="s">
        <v>110</v>
      </c>
      <c r="C15" s="11"/>
      <c r="E15">
        <v>1</v>
      </c>
      <c r="F15">
        <v>400</v>
      </c>
      <c r="G15">
        <v>5950</v>
      </c>
      <c r="H15" s="10">
        <f t="shared" si="0"/>
        <v>14.875</v>
      </c>
    </row>
    <row r="16" spans="1:8" x14ac:dyDescent="0.3">
      <c r="A16" t="s">
        <v>33</v>
      </c>
      <c r="B16" t="s">
        <v>133</v>
      </c>
      <c r="C16" t="s">
        <v>110</v>
      </c>
      <c r="D16">
        <v>2021</v>
      </c>
      <c r="E16">
        <v>1</v>
      </c>
      <c r="F16">
        <v>225</v>
      </c>
      <c r="G16">
        <v>3390</v>
      </c>
      <c r="H16" s="10">
        <f t="shared" si="0"/>
        <v>15.066666666666666</v>
      </c>
    </row>
    <row r="17" spans="1:8" x14ac:dyDescent="0.3">
      <c r="A17" t="s">
        <v>39</v>
      </c>
      <c r="B17" t="s">
        <v>163</v>
      </c>
      <c r="C17" t="s">
        <v>132</v>
      </c>
      <c r="D17">
        <v>2021</v>
      </c>
      <c r="E17">
        <v>1</v>
      </c>
      <c r="F17">
        <v>900</v>
      </c>
      <c r="G17">
        <v>2190</v>
      </c>
      <c r="H17" s="10">
        <f t="shared" si="0"/>
        <v>2.4333333333333331</v>
      </c>
    </row>
    <row r="18" spans="1:8" x14ac:dyDescent="0.3">
      <c r="A18" t="s">
        <v>131</v>
      </c>
      <c r="C18" t="s">
        <v>132</v>
      </c>
      <c r="D18">
        <v>2021</v>
      </c>
      <c r="E18">
        <v>1</v>
      </c>
      <c r="F18">
        <v>400</v>
      </c>
      <c r="G18">
        <v>5990</v>
      </c>
      <c r="H18" s="10">
        <f t="shared" si="0"/>
        <v>14.975</v>
      </c>
    </row>
    <row r="19" spans="1:8" x14ac:dyDescent="0.3">
      <c r="A19" t="s">
        <v>38</v>
      </c>
      <c r="B19" t="s">
        <v>114</v>
      </c>
      <c r="C19" s="11" t="s">
        <v>110</v>
      </c>
      <c r="D19">
        <v>2021</v>
      </c>
      <c r="E19">
        <v>4</v>
      </c>
      <c r="F19">
        <v>300</v>
      </c>
      <c r="G19">
        <v>1000</v>
      </c>
      <c r="H19" s="10">
        <f t="shared" si="0"/>
        <v>3.3333333333333335</v>
      </c>
    </row>
    <row r="20" spans="1:8" x14ac:dyDescent="0.3">
      <c r="A20" t="s">
        <v>123</v>
      </c>
      <c r="B20" t="s">
        <v>110</v>
      </c>
      <c r="E20">
        <v>1</v>
      </c>
      <c r="F20">
        <v>500</v>
      </c>
      <c r="G20">
        <v>3400</v>
      </c>
      <c r="H20" s="10">
        <f t="shared" si="0"/>
        <v>6.8</v>
      </c>
    </row>
    <row r="21" spans="1:8" x14ac:dyDescent="0.3">
      <c r="A21" t="s">
        <v>43</v>
      </c>
      <c r="B21" t="s">
        <v>110</v>
      </c>
      <c r="E21">
        <v>1</v>
      </c>
      <c r="F21">
        <v>200</v>
      </c>
      <c r="G21">
        <v>2000</v>
      </c>
      <c r="H21" s="10">
        <f t="shared" si="0"/>
        <v>10</v>
      </c>
    </row>
    <row r="22" spans="1:8" x14ac:dyDescent="0.3">
      <c r="A22" t="s">
        <v>26</v>
      </c>
      <c r="B22" t="s">
        <v>108</v>
      </c>
      <c r="E22">
        <v>6</v>
      </c>
      <c r="F22">
        <v>1210</v>
      </c>
      <c r="G22">
        <v>5445</v>
      </c>
      <c r="H22" s="10">
        <f t="shared" si="0"/>
        <v>4.5</v>
      </c>
    </row>
    <row r="23" spans="1:8" x14ac:dyDescent="0.3">
      <c r="A23" t="s">
        <v>22</v>
      </c>
      <c r="B23" t="s">
        <v>107</v>
      </c>
      <c r="E23">
        <v>2</v>
      </c>
      <c r="F23">
        <v>1065</v>
      </c>
      <c r="G23">
        <v>1704</v>
      </c>
      <c r="H23" s="10">
        <f t="shared" si="0"/>
        <v>1.6</v>
      </c>
    </row>
    <row r="24" spans="1:8" x14ac:dyDescent="0.3">
      <c r="A24" t="s">
        <v>59</v>
      </c>
      <c r="B24" t="s">
        <v>106</v>
      </c>
      <c r="E24">
        <v>4</v>
      </c>
      <c r="F24">
        <v>720</v>
      </c>
      <c r="G24">
        <v>6200</v>
      </c>
      <c r="H24" s="10">
        <f t="shared" si="0"/>
        <v>8.6111111111111107</v>
      </c>
    </row>
    <row r="25" spans="1:8" x14ac:dyDescent="0.3">
      <c r="A25" t="s">
        <v>48</v>
      </c>
      <c r="B25" t="s">
        <v>127</v>
      </c>
      <c r="C25" t="s">
        <v>110</v>
      </c>
      <c r="D25">
        <v>2021</v>
      </c>
      <c r="E25">
        <v>1</v>
      </c>
      <c r="F25">
        <v>500</v>
      </c>
      <c r="G25">
        <v>2500</v>
      </c>
      <c r="H25" s="10">
        <f t="shared" si="0"/>
        <v>5</v>
      </c>
    </row>
    <row r="26" spans="1:8" x14ac:dyDescent="0.3">
      <c r="A26" t="s">
        <v>34</v>
      </c>
      <c r="B26" t="s">
        <v>117</v>
      </c>
      <c r="E26">
        <v>1</v>
      </c>
      <c r="F26">
        <v>400</v>
      </c>
      <c r="G26">
        <v>8800</v>
      </c>
      <c r="H26" s="10">
        <f t="shared" si="0"/>
        <v>22</v>
      </c>
    </row>
    <row r="27" spans="1:8" x14ac:dyDescent="0.3">
      <c r="A27" t="s">
        <v>49</v>
      </c>
      <c r="B27" t="s">
        <v>167</v>
      </c>
      <c r="C27" t="s">
        <v>132</v>
      </c>
      <c r="D27">
        <v>2021</v>
      </c>
      <c r="E27">
        <v>1</v>
      </c>
      <c r="F27">
        <v>450</v>
      </c>
      <c r="G27">
        <v>2090</v>
      </c>
      <c r="H27" s="10">
        <f t="shared" si="0"/>
        <v>4.6444444444444448</v>
      </c>
    </row>
    <row r="28" spans="1:8" x14ac:dyDescent="0.3">
      <c r="A28" t="s">
        <v>121</v>
      </c>
      <c r="B28" t="s">
        <v>122</v>
      </c>
      <c r="C28" t="s">
        <v>110</v>
      </c>
      <c r="D28">
        <v>2021</v>
      </c>
      <c r="E28">
        <v>1</v>
      </c>
      <c r="F28">
        <v>480</v>
      </c>
      <c r="G28">
        <v>3250</v>
      </c>
      <c r="H28" s="10">
        <f t="shared" si="0"/>
        <v>6.770833333333333</v>
      </c>
    </row>
    <row r="29" spans="1:8" x14ac:dyDescent="0.3">
      <c r="A29" t="s">
        <v>35</v>
      </c>
      <c r="B29" t="s">
        <v>171</v>
      </c>
      <c r="C29" t="s">
        <v>132</v>
      </c>
      <c r="D29">
        <v>2021</v>
      </c>
      <c r="E29">
        <v>1</v>
      </c>
      <c r="F29">
        <v>2000</v>
      </c>
      <c r="G29">
        <v>3890</v>
      </c>
      <c r="H29" s="10">
        <f t="shared" si="0"/>
        <v>1.9450000000000001</v>
      </c>
    </row>
    <row r="30" spans="1:8" x14ac:dyDescent="0.3">
      <c r="A30" t="s">
        <v>28</v>
      </c>
      <c r="B30" t="s">
        <v>170</v>
      </c>
      <c r="C30" t="s">
        <v>132</v>
      </c>
      <c r="D30">
        <v>2021</v>
      </c>
      <c r="E30">
        <v>1</v>
      </c>
      <c r="F30">
        <v>500</v>
      </c>
      <c r="G30">
        <v>2790</v>
      </c>
      <c r="H30" s="10">
        <f t="shared" si="0"/>
        <v>5.58</v>
      </c>
    </row>
    <row r="31" spans="1:8" x14ac:dyDescent="0.3">
      <c r="A31" t="s">
        <v>118</v>
      </c>
      <c r="B31" t="s">
        <v>173</v>
      </c>
      <c r="C31" t="s">
        <v>173</v>
      </c>
      <c r="D31">
        <v>2021</v>
      </c>
      <c r="E31">
        <v>1</v>
      </c>
      <c r="F31">
        <v>1000</v>
      </c>
      <c r="G31">
        <v>17150</v>
      </c>
      <c r="H31" s="10">
        <f t="shared" si="0"/>
        <v>17.149999999999999</v>
      </c>
    </row>
    <row r="32" spans="1:8" x14ac:dyDescent="0.3">
      <c r="A32" t="s">
        <v>155</v>
      </c>
      <c r="B32" t="s">
        <v>163</v>
      </c>
      <c r="C32" t="s">
        <v>132</v>
      </c>
      <c r="D32">
        <v>2021</v>
      </c>
      <c r="E32">
        <v>1</v>
      </c>
      <c r="F32">
        <v>400</v>
      </c>
      <c r="G32">
        <v>6990</v>
      </c>
      <c r="H32" s="10">
        <f t="shared" si="0"/>
        <v>17.475000000000001</v>
      </c>
    </row>
    <row r="33" spans="1:8" x14ac:dyDescent="0.3">
      <c r="A33" t="s">
        <v>134</v>
      </c>
      <c r="B33" t="s">
        <v>105</v>
      </c>
      <c r="C33" t="s">
        <v>110</v>
      </c>
      <c r="D33">
        <v>2021</v>
      </c>
      <c r="E33">
        <v>1</v>
      </c>
      <c r="F33">
        <v>400</v>
      </c>
      <c r="G33">
        <v>5990</v>
      </c>
      <c r="H33" s="10">
        <f t="shared" si="0"/>
        <v>14.975</v>
      </c>
    </row>
    <row r="34" spans="1:8" x14ac:dyDescent="0.3">
      <c r="A34" t="s">
        <v>116</v>
      </c>
      <c r="B34" t="s">
        <v>113</v>
      </c>
      <c r="E34">
        <v>1</v>
      </c>
      <c r="F34">
        <v>360</v>
      </c>
      <c r="G34">
        <v>5850</v>
      </c>
      <c r="H34" s="10">
        <f t="shared" si="0"/>
        <v>16.25</v>
      </c>
    </row>
    <row r="35" spans="1:8" x14ac:dyDescent="0.3">
      <c r="A35" t="s">
        <v>62</v>
      </c>
      <c r="B35" t="s">
        <v>130</v>
      </c>
      <c r="C35" t="s">
        <v>110</v>
      </c>
      <c r="D35">
        <v>2021</v>
      </c>
      <c r="E35">
        <v>1</v>
      </c>
      <c r="F35">
        <v>1000</v>
      </c>
      <c r="G35">
        <v>1150</v>
      </c>
      <c r="H35" s="10">
        <f t="shared" si="0"/>
        <v>1.1499999999999999</v>
      </c>
    </row>
    <row r="36" spans="1:8" x14ac:dyDescent="0.3">
      <c r="A36" t="s">
        <v>30</v>
      </c>
      <c r="B36" t="s">
        <v>110</v>
      </c>
      <c r="E36">
        <v>1</v>
      </c>
      <c r="F36">
        <v>450</v>
      </c>
      <c r="G36">
        <v>4400</v>
      </c>
      <c r="H36" s="10">
        <f t="shared" si="0"/>
        <v>9.7777777777777786</v>
      </c>
    </row>
    <row r="37" spans="1:8" x14ac:dyDescent="0.3">
      <c r="A37" t="s">
        <v>30</v>
      </c>
      <c r="B37" t="s">
        <v>135</v>
      </c>
      <c r="C37" t="s">
        <v>110</v>
      </c>
      <c r="D37">
        <v>2021</v>
      </c>
      <c r="E37">
        <v>1</v>
      </c>
      <c r="F37">
        <v>450</v>
      </c>
      <c r="G37">
        <v>4950</v>
      </c>
      <c r="H37" s="10">
        <f t="shared" si="0"/>
        <v>11</v>
      </c>
    </row>
    <row r="38" spans="1:8" x14ac:dyDescent="0.3">
      <c r="A38" t="s">
        <v>129</v>
      </c>
      <c r="B38" t="s">
        <v>127</v>
      </c>
      <c r="C38" t="s">
        <v>110</v>
      </c>
      <c r="D38">
        <v>2021</v>
      </c>
      <c r="E38">
        <v>1</v>
      </c>
      <c r="F38">
        <v>200</v>
      </c>
      <c r="G38">
        <v>2200</v>
      </c>
      <c r="H38" s="10">
        <f t="shared" si="0"/>
        <v>11</v>
      </c>
    </row>
    <row r="39" spans="1:8" x14ac:dyDescent="0.3">
      <c r="A39" t="s">
        <v>109</v>
      </c>
      <c r="B39" t="s">
        <v>127</v>
      </c>
      <c r="C39" t="s">
        <v>110</v>
      </c>
      <c r="D39">
        <v>2021</v>
      </c>
      <c r="E39">
        <v>1</v>
      </c>
      <c r="F39">
        <v>500</v>
      </c>
      <c r="G39">
        <v>2500</v>
      </c>
      <c r="H39" s="10">
        <f t="shared" si="0"/>
        <v>5</v>
      </c>
    </row>
    <row r="40" spans="1:8" x14ac:dyDescent="0.3">
      <c r="A40" t="s">
        <v>24</v>
      </c>
      <c r="B40" t="s">
        <v>105</v>
      </c>
      <c r="E40">
        <v>1</v>
      </c>
      <c r="F40">
        <v>5150</v>
      </c>
      <c r="G40">
        <v>5923</v>
      </c>
      <c r="H40" s="10">
        <f t="shared" si="0"/>
        <v>1.1500970873786407</v>
      </c>
    </row>
    <row r="41" spans="1:8" x14ac:dyDescent="0.3">
      <c r="A41" t="s">
        <v>111</v>
      </c>
      <c r="B41" t="s">
        <v>110</v>
      </c>
      <c r="E41">
        <v>1</v>
      </c>
      <c r="F41">
        <v>500</v>
      </c>
      <c r="G41">
        <v>2250</v>
      </c>
      <c r="H41" s="10">
        <f t="shared" si="0"/>
        <v>4.5</v>
      </c>
    </row>
    <row r="42" spans="1:8" x14ac:dyDescent="0.3">
      <c r="A42" t="s">
        <v>60</v>
      </c>
      <c r="B42" t="s">
        <v>115</v>
      </c>
      <c r="C42" t="s">
        <v>110</v>
      </c>
      <c r="D42">
        <v>2021</v>
      </c>
      <c r="E42">
        <v>4</v>
      </c>
      <c r="F42">
        <v>500</v>
      </c>
      <c r="G42">
        <v>1550</v>
      </c>
      <c r="H42" s="10">
        <f t="shared" si="0"/>
        <v>3.1</v>
      </c>
    </row>
    <row r="43" spans="1:8" x14ac:dyDescent="0.3">
      <c r="A43" t="s">
        <v>36</v>
      </c>
      <c r="B43" t="s">
        <v>105</v>
      </c>
      <c r="C43" t="s">
        <v>110</v>
      </c>
      <c r="D43">
        <v>2021</v>
      </c>
      <c r="E43">
        <v>1</v>
      </c>
      <c r="F43">
        <v>600</v>
      </c>
      <c r="G43">
        <v>1750</v>
      </c>
      <c r="H43" s="10">
        <f t="shared" si="0"/>
        <v>2.9166666666666665</v>
      </c>
    </row>
    <row r="44" spans="1:8" x14ac:dyDescent="0.3">
      <c r="A44" t="s">
        <v>159</v>
      </c>
      <c r="B44" t="s">
        <v>160</v>
      </c>
      <c r="C44" t="s">
        <v>132</v>
      </c>
      <c r="D44">
        <v>2021</v>
      </c>
      <c r="E44">
        <v>5</v>
      </c>
      <c r="F44">
        <v>400</v>
      </c>
      <c r="G44">
        <v>2100</v>
      </c>
      <c r="H44" s="10">
        <f t="shared" si="0"/>
        <v>5.25</v>
      </c>
    </row>
    <row r="45" spans="1:8" x14ac:dyDescent="0.3">
      <c r="A45" t="s">
        <v>65</v>
      </c>
      <c r="B45" t="s">
        <v>163</v>
      </c>
      <c r="C45" t="s">
        <v>132</v>
      </c>
      <c r="D45">
        <v>2021</v>
      </c>
      <c r="E45">
        <v>1</v>
      </c>
      <c r="F45">
        <v>1000</v>
      </c>
      <c r="G45">
        <v>2950</v>
      </c>
      <c r="H45" s="10">
        <f t="shared" ref="H45:H50" si="1">G45/F45</f>
        <v>2.95</v>
      </c>
    </row>
    <row r="46" spans="1:8" x14ac:dyDescent="0.3">
      <c r="A46" t="s">
        <v>157</v>
      </c>
      <c r="B46" t="s">
        <v>164</v>
      </c>
      <c r="C46" t="s">
        <v>132</v>
      </c>
      <c r="D46">
        <v>2021</v>
      </c>
      <c r="E46">
        <v>1</v>
      </c>
      <c r="F46">
        <v>117</v>
      </c>
      <c r="G46">
        <v>4990</v>
      </c>
      <c r="H46" s="10">
        <f t="shared" si="1"/>
        <v>42.649572649572647</v>
      </c>
    </row>
    <row r="47" spans="1:8" x14ac:dyDescent="0.3">
      <c r="A47" t="s">
        <v>71</v>
      </c>
      <c r="B47" t="s">
        <v>165</v>
      </c>
      <c r="C47" t="s">
        <v>132</v>
      </c>
      <c r="D47">
        <v>2021</v>
      </c>
      <c r="E47">
        <v>1</v>
      </c>
      <c r="F47">
        <v>350</v>
      </c>
      <c r="G47">
        <v>3790</v>
      </c>
      <c r="H47" s="10">
        <f t="shared" si="1"/>
        <v>10.828571428571429</v>
      </c>
    </row>
    <row r="48" spans="1:8" x14ac:dyDescent="0.3">
      <c r="A48" t="s">
        <v>158</v>
      </c>
      <c r="B48" t="s">
        <v>168</v>
      </c>
      <c r="C48" t="s">
        <v>132</v>
      </c>
      <c r="D48">
        <v>2021</v>
      </c>
      <c r="E48">
        <v>1</v>
      </c>
      <c r="F48">
        <v>250</v>
      </c>
      <c r="G48">
        <v>4990</v>
      </c>
      <c r="H48" s="10">
        <f t="shared" si="1"/>
        <v>19.96</v>
      </c>
    </row>
    <row r="49" spans="1:8" x14ac:dyDescent="0.3">
      <c r="A49" t="s">
        <v>169</v>
      </c>
      <c r="B49" t="s">
        <v>163</v>
      </c>
      <c r="C49" t="s">
        <v>132</v>
      </c>
      <c r="D49">
        <v>2021</v>
      </c>
      <c r="E49">
        <v>1</v>
      </c>
      <c r="F49">
        <v>400</v>
      </c>
      <c r="G49">
        <v>6790</v>
      </c>
      <c r="H49" s="10">
        <f t="shared" si="1"/>
        <v>16.975000000000001</v>
      </c>
    </row>
    <row r="50" spans="1:8" x14ac:dyDescent="0.3">
      <c r="A50" t="s">
        <v>138</v>
      </c>
      <c r="B50" t="s">
        <v>170</v>
      </c>
      <c r="C50" t="s">
        <v>132</v>
      </c>
      <c r="D50">
        <v>2021</v>
      </c>
      <c r="E50">
        <v>1</v>
      </c>
      <c r="F50">
        <v>500</v>
      </c>
      <c r="G50">
        <v>2790</v>
      </c>
      <c r="H50" s="10">
        <f t="shared" si="1"/>
        <v>5.58</v>
      </c>
    </row>
    <row r="51" spans="1:8" x14ac:dyDescent="0.3">
      <c r="A51" t="s">
        <v>52</v>
      </c>
      <c r="C51" t="s">
        <v>173</v>
      </c>
      <c r="D51">
        <v>2021</v>
      </c>
      <c r="E51">
        <v>1</v>
      </c>
      <c r="F51">
        <v>500</v>
      </c>
      <c r="G51">
        <v>2945</v>
      </c>
      <c r="H51" s="10">
        <f t="shared" ref="H51:H57" si="2">G51/F51</f>
        <v>5.89</v>
      </c>
    </row>
    <row r="52" spans="1:8" x14ac:dyDescent="0.3">
      <c r="A52" t="s">
        <v>45</v>
      </c>
      <c r="B52" t="s">
        <v>166</v>
      </c>
      <c r="C52" t="s">
        <v>132</v>
      </c>
      <c r="D52">
        <v>2021</v>
      </c>
      <c r="E52">
        <v>30</v>
      </c>
      <c r="F52">
        <v>1200</v>
      </c>
      <c r="G52">
        <v>11590</v>
      </c>
      <c r="H52" s="10">
        <f t="shared" si="2"/>
        <v>9.6583333333333332</v>
      </c>
    </row>
    <row r="53" spans="1:8" x14ac:dyDescent="0.3">
      <c r="A53" t="s">
        <v>58</v>
      </c>
      <c r="B53" t="s">
        <v>177</v>
      </c>
      <c r="C53" t="s">
        <v>132</v>
      </c>
      <c r="D53">
        <v>2021</v>
      </c>
      <c r="E53">
        <v>1</v>
      </c>
      <c r="F53">
        <v>125</v>
      </c>
      <c r="G53">
        <v>2380</v>
      </c>
      <c r="H53" s="10">
        <f t="shared" si="2"/>
        <v>19.04</v>
      </c>
    </row>
    <row r="54" spans="1:8" x14ac:dyDescent="0.3">
      <c r="A54" t="s">
        <v>148</v>
      </c>
      <c r="B54" t="s">
        <v>168</v>
      </c>
      <c r="C54" t="s">
        <v>132</v>
      </c>
      <c r="D54">
        <v>2021</v>
      </c>
      <c r="E54">
        <v>1</v>
      </c>
      <c r="F54">
        <v>250</v>
      </c>
      <c r="G54">
        <v>4990</v>
      </c>
      <c r="H54" s="10">
        <f t="shared" si="2"/>
        <v>19.96</v>
      </c>
    </row>
    <row r="55" spans="1:8" x14ac:dyDescent="0.3">
      <c r="A55" t="s">
        <v>55</v>
      </c>
      <c r="B55" t="s">
        <v>127</v>
      </c>
      <c r="C55" t="s">
        <v>132</v>
      </c>
      <c r="D55">
        <v>2021</v>
      </c>
      <c r="E55">
        <v>1</v>
      </c>
      <c r="F55">
        <v>190</v>
      </c>
      <c r="G55">
        <v>1990</v>
      </c>
      <c r="H55" s="10">
        <f t="shared" si="2"/>
        <v>10.473684210526315</v>
      </c>
    </row>
    <row r="56" spans="1:8" x14ac:dyDescent="0.3">
      <c r="A56" t="s">
        <v>154</v>
      </c>
      <c r="C56" t="s">
        <v>173</v>
      </c>
      <c r="D56">
        <v>2021</v>
      </c>
      <c r="E56">
        <v>1</v>
      </c>
      <c r="F56">
        <v>1000</v>
      </c>
      <c r="G56">
        <v>2900</v>
      </c>
      <c r="H56" s="10">
        <f t="shared" si="2"/>
        <v>2.9</v>
      </c>
    </row>
    <row r="57" spans="1:8" x14ac:dyDescent="0.3">
      <c r="A57" t="s">
        <v>178</v>
      </c>
      <c r="C57" t="s">
        <v>173</v>
      </c>
      <c r="D57">
        <v>2021</v>
      </c>
      <c r="E57">
        <v>1</v>
      </c>
      <c r="F57">
        <v>1000</v>
      </c>
      <c r="G57">
        <v>2100</v>
      </c>
      <c r="H57" s="10">
        <f t="shared" si="2"/>
        <v>2.1</v>
      </c>
    </row>
  </sheetData>
  <sortState xmlns:xlrd2="http://schemas.microsoft.com/office/spreadsheetml/2017/richdata2" ref="A2:H35">
    <sortCondition ref="A2:A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0B99-5421-4131-BE6C-6DE342ACDF78}">
  <sheetPr codeName="Hoja3"/>
  <dimension ref="A1:I26"/>
  <sheetViews>
    <sheetView zoomScale="205" zoomScaleNormal="205" workbookViewId="0">
      <selection activeCell="I3" sqref="I3"/>
    </sheetView>
  </sheetViews>
  <sheetFormatPr defaultColWidth="11.5546875" defaultRowHeight="14.4" x14ac:dyDescent="0.3"/>
  <cols>
    <col min="4" max="5" width="13.5546875" customWidth="1"/>
  </cols>
  <sheetData>
    <row r="1" spans="1:9" x14ac:dyDescent="0.3">
      <c r="B1" s="8" t="s">
        <v>72</v>
      </c>
      <c r="C1" s="8" t="s">
        <v>73</v>
      </c>
      <c r="D1" s="8" t="s">
        <v>74</v>
      </c>
      <c r="E1" s="8" t="s">
        <v>75</v>
      </c>
      <c r="F1" s="8" t="s">
        <v>76</v>
      </c>
      <c r="G1" s="8" t="s">
        <v>77</v>
      </c>
      <c r="H1" s="8" t="s">
        <v>78</v>
      </c>
      <c r="I1" s="8"/>
    </row>
    <row r="2" spans="1:9" x14ac:dyDescent="0.3">
      <c r="A2" s="1" t="s">
        <v>79</v>
      </c>
      <c r="B2" s="7" t="s">
        <v>71</v>
      </c>
      <c r="C2" s="7" t="s">
        <v>71</v>
      </c>
      <c r="D2" s="7" t="s">
        <v>71</v>
      </c>
      <c r="E2" s="7" t="s">
        <v>71</v>
      </c>
      <c r="F2" s="7" t="s">
        <v>71</v>
      </c>
      <c r="G2" s="7" t="s">
        <v>71</v>
      </c>
      <c r="H2" s="7" t="s">
        <v>71</v>
      </c>
      <c r="I2" s="7"/>
    </row>
    <row r="3" spans="1:9" ht="72" x14ac:dyDescent="0.3">
      <c r="A3" s="1" t="s">
        <v>80</v>
      </c>
      <c r="B3" s="9" t="s">
        <v>84</v>
      </c>
      <c r="C3" s="9" t="s">
        <v>84</v>
      </c>
      <c r="D3" s="9" t="s">
        <v>92</v>
      </c>
      <c r="E3" s="9" t="s">
        <v>92</v>
      </c>
      <c r="F3" s="9" t="s">
        <v>85</v>
      </c>
      <c r="G3" s="9" t="s">
        <v>85</v>
      </c>
      <c r="H3" s="9" t="s">
        <v>86</v>
      </c>
    </row>
    <row r="4" spans="1:9" x14ac:dyDescent="0.3">
      <c r="A4" s="1" t="s">
        <v>81</v>
      </c>
      <c r="B4" s="7" t="s">
        <v>82</v>
      </c>
      <c r="C4" s="7" t="s">
        <v>83</v>
      </c>
      <c r="D4" s="7" t="s">
        <v>82</v>
      </c>
      <c r="E4" s="7" t="s">
        <v>83</v>
      </c>
      <c r="F4" s="7" t="s">
        <v>82</v>
      </c>
      <c r="G4" s="7" t="s">
        <v>83</v>
      </c>
      <c r="H4" s="7" t="s">
        <v>82</v>
      </c>
      <c r="I4" s="7"/>
    </row>
    <row r="5" spans="1:9" x14ac:dyDescent="0.3">
      <c r="B5" s="7"/>
      <c r="C5" s="7"/>
      <c r="D5" s="7"/>
      <c r="E5" s="7"/>
      <c r="F5" s="7"/>
      <c r="G5" s="7"/>
      <c r="H5" s="7"/>
    </row>
    <row r="6" spans="1:9" x14ac:dyDescent="0.3">
      <c r="B6" s="8" t="s">
        <v>72</v>
      </c>
      <c r="C6" s="8" t="s">
        <v>73</v>
      </c>
      <c r="D6" s="8" t="s">
        <v>74</v>
      </c>
      <c r="E6" s="8" t="s">
        <v>75</v>
      </c>
      <c r="F6" s="8" t="s">
        <v>76</v>
      </c>
      <c r="G6" s="8" t="s">
        <v>77</v>
      </c>
      <c r="H6" s="8" t="s">
        <v>78</v>
      </c>
    </row>
    <row r="7" spans="1:9" x14ac:dyDescent="0.3">
      <c r="A7" s="1" t="s">
        <v>79</v>
      </c>
      <c r="B7" s="7" t="s">
        <v>71</v>
      </c>
      <c r="C7" s="7" t="s">
        <v>71</v>
      </c>
      <c r="D7" s="7" t="s">
        <v>71</v>
      </c>
      <c r="E7" s="7" t="s">
        <v>71</v>
      </c>
      <c r="F7" s="7" t="s">
        <v>71</v>
      </c>
      <c r="G7" s="7" t="s">
        <v>71</v>
      </c>
      <c r="H7" s="7" t="s">
        <v>71</v>
      </c>
    </row>
    <row r="8" spans="1:9" ht="115.2" x14ac:dyDescent="0.3">
      <c r="A8" s="1" t="s">
        <v>80</v>
      </c>
      <c r="B8" s="9" t="s">
        <v>96</v>
      </c>
      <c r="C8" s="9" t="s">
        <v>96</v>
      </c>
      <c r="D8" s="9" t="s">
        <v>97</v>
      </c>
      <c r="E8" s="9" t="s">
        <v>97</v>
      </c>
      <c r="F8" s="9" t="s">
        <v>99</v>
      </c>
      <c r="G8" s="9" t="s">
        <v>99</v>
      </c>
      <c r="H8" s="9" t="s">
        <v>98</v>
      </c>
    </row>
    <row r="9" spans="1:9" x14ac:dyDescent="0.3">
      <c r="A9" s="1" t="s">
        <v>81</v>
      </c>
      <c r="B9" s="7" t="s">
        <v>82</v>
      </c>
      <c r="C9" s="7" t="s">
        <v>83</v>
      </c>
      <c r="D9" s="7" t="s">
        <v>82</v>
      </c>
      <c r="E9" s="7" t="s">
        <v>83</v>
      </c>
      <c r="F9" s="7" t="s">
        <v>82</v>
      </c>
      <c r="G9" s="7" t="s">
        <v>83</v>
      </c>
      <c r="H9" s="7" t="s">
        <v>82</v>
      </c>
    </row>
    <row r="10" spans="1:9" x14ac:dyDescent="0.3">
      <c r="C10" s="7"/>
      <c r="D10" s="7"/>
      <c r="E10" s="7"/>
      <c r="F10" s="7"/>
      <c r="G10" s="7"/>
      <c r="H10" s="7"/>
    </row>
    <row r="11" spans="1:9" x14ac:dyDescent="0.3">
      <c r="C11" s="7"/>
      <c r="D11" s="7"/>
      <c r="E11" s="7"/>
      <c r="F11" s="7"/>
      <c r="G11" s="7"/>
      <c r="H11" s="7"/>
    </row>
    <row r="18" spans="2:2" x14ac:dyDescent="0.3">
      <c r="B18" s="8" t="s">
        <v>87</v>
      </c>
    </row>
    <row r="19" spans="2:2" x14ac:dyDescent="0.3">
      <c r="B19" s="7" t="s">
        <v>88</v>
      </c>
    </row>
    <row r="20" spans="2:2" x14ac:dyDescent="0.3">
      <c r="B20" s="7" t="s">
        <v>89</v>
      </c>
    </row>
    <row r="21" spans="2:2" x14ac:dyDescent="0.3">
      <c r="B21" s="7" t="s">
        <v>90</v>
      </c>
    </row>
    <row r="22" spans="2:2" x14ac:dyDescent="0.3">
      <c r="B22" s="7" t="s">
        <v>91</v>
      </c>
    </row>
    <row r="23" spans="2:2" x14ac:dyDescent="0.3">
      <c r="B23" s="7" t="s">
        <v>42</v>
      </c>
    </row>
    <row r="24" spans="2:2" x14ac:dyDescent="0.3">
      <c r="B24" s="7" t="s">
        <v>93</v>
      </c>
    </row>
    <row r="25" spans="2:2" x14ac:dyDescent="0.3">
      <c r="B25" s="7" t="s">
        <v>94</v>
      </c>
    </row>
    <row r="26" spans="2:2" x14ac:dyDescent="0.3">
      <c r="B26" s="7" t="s">
        <v>95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B716-1D34-4468-8A61-C0F2BC785349}">
  <sheetPr codeName="Hoja7"/>
  <dimension ref="A1:C4"/>
  <sheetViews>
    <sheetView zoomScaleNormal="100" workbookViewId="0">
      <selection activeCell="A13" sqref="A13"/>
    </sheetView>
  </sheetViews>
  <sheetFormatPr defaultColWidth="11.5546875" defaultRowHeight="14.4" x14ac:dyDescent="0.3"/>
  <cols>
    <col min="1" max="1" width="16.5546875" bestFit="1" customWidth="1"/>
    <col min="2" max="2" width="15.33203125" bestFit="1" customWidth="1"/>
    <col min="3" max="3" width="15.88671875" bestFit="1" customWidth="1"/>
  </cols>
  <sheetData>
    <row r="1" spans="1:3" x14ac:dyDescent="0.3">
      <c r="A1" s="13" t="s">
        <v>144</v>
      </c>
      <c r="B1" t="s">
        <v>146</v>
      </c>
      <c r="C1" t="s">
        <v>147</v>
      </c>
    </row>
    <row r="2" spans="1:3" x14ac:dyDescent="0.3">
      <c r="A2" s="14" t="s">
        <v>156</v>
      </c>
      <c r="B2" s="6"/>
      <c r="C2" s="6"/>
    </row>
    <row r="3" spans="1:3" x14ac:dyDescent="0.3">
      <c r="A3" s="20" t="s">
        <v>156</v>
      </c>
      <c r="B3" s="6"/>
      <c r="C3" s="6"/>
    </row>
    <row r="4" spans="1:3" x14ac:dyDescent="0.3">
      <c r="A4" s="14" t="s">
        <v>145</v>
      </c>
      <c r="B4" s="6"/>
      <c r="C4" s="6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2D8F9-7508-43EC-A414-9A5778AA3DFB}">
  <sheetPr codeName="Hoja6"/>
  <dimension ref="A1:AD66"/>
  <sheetViews>
    <sheetView tabSelected="1" workbookViewId="0">
      <selection activeCell="B4" sqref="B4"/>
    </sheetView>
  </sheetViews>
  <sheetFormatPr defaultColWidth="11.5546875" defaultRowHeight="14.4" x14ac:dyDescent="0.3"/>
  <cols>
    <col min="1" max="1" width="23.33203125" bestFit="1" customWidth="1"/>
    <col min="2" max="2" width="7.33203125" bestFit="1" customWidth="1"/>
    <col min="3" max="3" width="9.6640625" bestFit="1" customWidth="1"/>
    <col min="4" max="4" width="7.5546875" bestFit="1" customWidth="1"/>
    <col min="5" max="5" width="5.6640625" bestFit="1" customWidth="1"/>
    <col min="6" max="6" width="5.88671875" bestFit="1" customWidth="1"/>
    <col min="7" max="7" width="5.44140625" bestFit="1" customWidth="1"/>
    <col min="8" max="8" width="5" bestFit="1" customWidth="1"/>
    <col min="9" max="9" width="5.5546875" bestFit="1" customWidth="1"/>
    <col min="12" max="12" width="10" customWidth="1"/>
    <col min="13" max="13" width="9.6640625" bestFit="1" customWidth="1"/>
    <col min="14" max="14" width="7.5546875" bestFit="1" customWidth="1"/>
    <col min="15" max="15" width="5.6640625" bestFit="1" customWidth="1"/>
    <col min="16" max="16" width="5.88671875" bestFit="1" customWidth="1"/>
    <col min="17" max="17" width="5.44140625" bestFit="1" customWidth="1"/>
    <col min="18" max="18" width="5.33203125" bestFit="1" customWidth="1"/>
    <col min="19" max="19" width="5.5546875" bestFit="1" customWidth="1"/>
    <col min="23" max="23" width="7.44140625" bestFit="1" customWidth="1"/>
    <col min="24" max="24" width="10.109375" bestFit="1" customWidth="1"/>
    <col min="25" max="25" width="7.6640625" bestFit="1" customWidth="1"/>
    <col min="26" max="26" width="5.6640625" bestFit="1" customWidth="1"/>
    <col min="27" max="27" width="6" bestFit="1" customWidth="1"/>
    <col min="28" max="28" width="5.6640625" bestFit="1" customWidth="1"/>
    <col min="29" max="29" width="5.33203125" bestFit="1" customWidth="1"/>
    <col min="30" max="30" width="5.6640625" bestFit="1" customWidth="1"/>
  </cols>
  <sheetData>
    <row r="1" spans="1:30" x14ac:dyDescent="0.3">
      <c r="A1" t="s">
        <v>10</v>
      </c>
      <c r="B1" t="s">
        <v>1</v>
      </c>
      <c r="C1" t="s">
        <v>176</v>
      </c>
      <c r="D1" t="s">
        <v>2</v>
      </c>
      <c r="E1" t="s">
        <v>4</v>
      </c>
      <c r="F1" t="s">
        <v>3</v>
      </c>
      <c r="G1" t="s">
        <v>175</v>
      </c>
      <c r="H1" t="s">
        <v>5</v>
      </c>
      <c r="I1" t="s">
        <v>6</v>
      </c>
      <c r="K1" t="s">
        <v>10</v>
      </c>
      <c r="L1" t="s">
        <v>1</v>
      </c>
      <c r="M1" t="s">
        <v>176</v>
      </c>
      <c r="N1" t="s">
        <v>2</v>
      </c>
      <c r="O1" t="s">
        <v>4</v>
      </c>
      <c r="P1" t="s">
        <v>3</v>
      </c>
      <c r="Q1" t="s">
        <v>175</v>
      </c>
      <c r="R1" t="s">
        <v>5</v>
      </c>
      <c r="S1" t="s">
        <v>6</v>
      </c>
    </row>
    <row r="2" spans="1:30" x14ac:dyDescent="0.3">
      <c r="A2" t="s">
        <v>45</v>
      </c>
      <c r="B2">
        <v>120</v>
      </c>
      <c r="C2" s="6">
        <f>VLOOKUP(Mis_Comidas[[#This Row],[Comida]],'Precio por alimento'!A:H,8,0)*B2</f>
        <v>1159</v>
      </c>
      <c r="D2" s="25">
        <f>VLOOKUP(Mis_Comidas[[#This Row],[Comida]],'Comidas individuales'!A:L,12,0)*B2</f>
        <v>186</v>
      </c>
      <c r="E2" s="6">
        <f>VLOOKUP(Mis_Comidas[[#This Row],[Comida]],'Comidas individuales'!A:M,13,0)*B2</f>
        <v>12.8</v>
      </c>
      <c r="F2" s="6">
        <f>VLOOKUP(Mis_Comidas[[#This Row],[Comida]],'Comidas individuales'!A:N,14,0)*B2</f>
        <v>1.4</v>
      </c>
      <c r="G2" s="6">
        <f>VLOOKUP(Mis_Comidas[[#This Row],[Comida]],'Comidas individuales'!A:O,15,0)*B2</f>
        <v>15</v>
      </c>
      <c r="H2" s="6">
        <f>VLOOKUP(Mis_Comidas[[#This Row],[Comida]],'Comidas individuales'!A:P,16,0)*B2</f>
        <v>0</v>
      </c>
      <c r="I2" s="6">
        <f>VLOOKUP(Mis_Comidas[[#This Row],[Comida]],'Comidas individuales'!A:Q,17,0)*B2</f>
        <v>0.2</v>
      </c>
      <c r="K2" t="s">
        <v>45</v>
      </c>
      <c r="L2">
        <v>120</v>
      </c>
      <c r="M2">
        <v>1159</v>
      </c>
      <c r="N2">
        <v>186</v>
      </c>
      <c r="O2">
        <v>12.8</v>
      </c>
      <c r="P2">
        <v>1.4</v>
      </c>
      <c r="Q2">
        <v>15</v>
      </c>
      <c r="R2">
        <v>0</v>
      </c>
      <c r="S2">
        <v>0.2</v>
      </c>
      <c r="T2" s="6"/>
      <c r="AD2" s="6"/>
    </row>
    <row r="3" spans="1:30" x14ac:dyDescent="0.3">
      <c r="A3" t="s">
        <v>39</v>
      </c>
      <c r="B3">
        <v>300</v>
      </c>
      <c r="C3" s="6">
        <f>VLOOKUP(Mis_Comidas[[#This Row],[Comida]],'Precio por alimento'!A:H,8,0)*B3</f>
        <v>729.99999999999989</v>
      </c>
      <c r="D3" s="25">
        <f>VLOOKUP(Mis_Comidas[[#This Row],[Comida]],'Comidas individuales'!A:L,12,0)*B3</f>
        <v>100</v>
      </c>
      <c r="E3" s="6">
        <f>VLOOKUP(Mis_Comidas[[#This Row],[Comida]],'Comidas individuales'!A:M,13,0)*B3</f>
        <v>0</v>
      </c>
      <c r="F3" s="6">
        <f>VLOOKUP(Mis_Comidas[[#This Row],[Comida]],'Comidas individuales'!A:N,14,0)*B3</f>
        <v>13.749999999999998</v>
      </c>
      <c r="G3" s="6">
        <f>VLOOKUP(Mis_Comidas[[#This Row],[Comida]],'Comidas individuales'!A:O,15,0)*B3</f>
        <v>8.75</v>
      </c>
      <c r="H3" s="6">
        <f>VLOOKUP(Mis_Comidas[[#This Row],[Comida]],'Comidas individuales'!A:P,16,0)*B3</f>
        <v>0</v>
      </c>
      <c r="I3" s="6">
        <f>VLOOKUP(Mis_Comidas[[#This Row],[Comida]],'Comidas individuales'!A:Q,17,0)*B3</f>
        <v>0.15625</v>
      </c>
      <c r="K3" t="s">
        <v>39</v>
      </c>
      <c r="L3">
        <v>300</v>
      </c>
      <c r="M3">
        <v>729.99999999999989</v>
      </c>
      <c r="N3">
        <v>100</v>
      </c>
      <c r="O3">
        <v>0</v>
      </c>
      <c r="P3">
        <v>13.749999999999998</v>
      </c>
      <c r="Q3">
        <v>8.75</v>
      </c>
      <c r="R3">
        <v>0</v>
      </c>
      <c r="S3">
        <v>0.15625</v>
      </c>
      <c r="T3" s="6"/>
      <c r="AD3" s="6"/>
    </row>
    <row r="4" spans="1:30" x14ac:dyDescent="0.3">
      <c r="A4" t="s">
        <v>118</v>
      </c>
      <c r="B4">
        <v>280</v>
      </c>
      <c r="C4" s="6">
        <f>VLOOKUP(Mis_Comidas[[#This Row],[Comida]],'Precio por alimento'!A:H,8,0)*B4</f>
        <v>4802</v>
      </c>
      <c r="D4" s="6">
        <f>VLOOKUP(Mis_Comidas[[#This Row],[Comida]],'Comidas individuales'!A:L,12,0)*B4</f>
        <v>481.59999999999997</v>
      </c>
      <c r="E4" s="6">
        <f>VLOOKUP(Mis_Comidas[[#This Row],[Comida]],'Comidas individuales'!A:M,13,0)*B4</f>
        <v>26.040000000000003</v>
      </c>
      <c r="F4" s="6">
        <f>VLOOKUP(Mis_Comidas[[#This Row],[Comida]],'Comidas individuales'!A:N,14,0)*B4</f>
        <v>0</v>
      </c>
      <c r="G4" s="6">
        <f>VLOOKUP(Mis_Comidas[[#This Row],[Comida]],'Comidas individuales'!A:O,15,0)*B4</f>
        <v>58.519999999999996</v>
      </c>
      <c r="H4" s="6">
        <f>VLOOKUP(Mis_Comidas[[#This Row],[Comida]],'Comidas individuales'!A:P,16,0)*B4</f>
        <v>0</v>
      </c>
      <c r="I4" s="6">
        <f>VLOOKUP(Mis_Comidas[[#This Row],[Comida]],'Comidas individuales'!A:Q,17,0)*B4</f>
        <v>0.28000000000000003</v>
      </c>
      <c r="K4" t="s">
        <v>118</v>
      </c>
      <c r="L4">
        <v>190</v>
      </c>
      <c r="M4">
        <v>3258.4999999999995</v>
      </c>
      <c r="N4">
        <v>326.8</v>
      </c>
      <c r="O4">
        <v>17.670000000000002</v>
      </c>
      <c r="P4">
        <v>0</v>
      </c>
      <c r="Q4">
        <v>39.71</v>
      </c>
      <c r="R4">
        <v>0</v>
      </c>
      <c r="S4">
        <v>0.19</v>
      </c>
      <c r="T4" s="6"/>
      <c r="AD4" s="6"/>
    </row>
    <row r="5" spans="1:30" x14ac:dyDescent="0.3">
      <c r="A5" s="2" t="s">
        <v>138</v>
      </c>
      <c r="B5">
        <v>0</v>
      </c>
      <c r="C5" s="6">
        <f>VLOOKUP(Mis_Comidas[[#This Row],[Comida]],'Precio por alimento'!A:H,8,0)*B5</f>
        <v>0</v>
      </c>
      <c r="D5" s="6">
        <f>VLOOKUP(Mis_Comidas[[#This Row],[Comida]],'Comidas individuales'!A:L,12,0)*B5</f>
        <v>0</v>
      </c>
      <c r="E5" s="6">
        <f>VLOOKUP(Mis_Comidas[[#This Row],[Comida]],'Comidas individuales'!A:M,13,0)*B5</f>
        <v>0</v>
      </c>
      <c r="F5" s="6">
        <f>VLOOKUP(Mis_Comidas[[#This Row],[Comida]],'Comidas individuales'!A:N,14,0)*B5</f>
        <v>0</v>
      </c>
      <c r="G5" s="6">
        <f>VLOOKUP(Mis_Comidas[[#This Row],[Comida]],'Comidas individuales'!A:O,15,0)*B5</f>
        <v>0</v>
      </c>
      <c r="H5" s="6">
        <f>VLOOKUP(Mis_Comidas[[#This Row],[Comida]],'Comidas individuales'!A:P,16,0)*B5</f>
        <v>0</v>
      </c>
      <c r="I5" s="6">
        <f>VLOOKUP(Mis_Comidas[[#This Row],[Comida]],'Comidas individuales'!A:Q,17,0)*B5</f>
        <v>0</v>
      </c>
      <c r="K5" t="s">
        <v>138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6"/>
      <c r="AD5" s="6"/>
    </row>
    <row r="6" spans="1:30" x14ac:dyDescent="0.3">
      <c r="A6" t="s">
        <v>49</v>
      </c>
      <c r="B6">
        <v>44</v>
      </c>
      <c r="C6" s="6">
        <f>VLOOKUP(Mis_Comidas[[#This Row],[Comida]],'Precio por alimento'!A:H,8,0)*B6</f>
        <v>204.35555555555558</v>
      </c>
      <c r="D6" s="6">
        <f>VLOOKUP(Mis_Comidas[[#This Row],[Comida]],'Comidas individuales'!A:L,12,0)*B6</f>
        <v>119.99999999999999</v>
      </c>
      <c r="E6" s="6">
        <f>VLOOKUP(Mis_Comidas[[#This Row],[Comida]],'Comidas individuales'!A:M,13,0)*B6</f>
        <v>1</v>
      </c>
      <c r="F6" s="6">
        <f>VLOOKUP(Mis_Comidas[[#This Row],[Comida]],'Comidas individuales'!A:N,14,0)*B6</f>
        <v>22</v>
      </c>
      <c r="G6" s="25">
        <f>VLOOKUP(Mis_Comidas[[#This Row],[Comida]],'Comidas individuales'!A:O,15,0)*B6</f>
        <v>5</v>
      </c>
      <c r="H6" s="6">
        <f>VLOOKUP(Mis_Comidas[[#This Row],[Comida]],'Comidas individuales'!A:P,16,0)*B6</f>
        <v>1</v>
      </c>
      <c r="I6" s="6">
        <f>VLOOKUP(Mis_Comidas[[#This Row],[Comida]],'Comidas individuales'!A:Q,17,0)*B6</f>
        <v>0.22</v>
      </c>
      <c r="K6" t="s">
        <v>49</v>
      </c>
      <c r="L6">
        <v>44</v>
      </c>
      <c r="M6">
        <v>204.35555555555558</v>
      </c>
      <c r="N6">
        <v>119.99999999999999</v>
      </c>
      <c r="O6">
        <v>1</v>
      </c>
      <c r="P6">
        <v>22</v>
      </c>
      <c r="Q6">
        <v>5</v>
      </c>
      <c r="R6">
        <v>1</v>
      </c>
      <c r="S6">
        <v>0.22</v>
      </c>
      <c r="T6" s="6"/>
      <c r="AD6" s="6"/>
    </row>
    <row r="7" spans="1:30" x14ac:dyDescent="0.3">
      <c r="A7" t="s">
        <v>40</v>
      </c>
      <c r="B7">
        <v>0</v>
      </c>
      <c r="C7" s="6">
        <f>VLOOKUP(Mis_Comidas[[#This Row],[Comida]],'Precio por alimento'!A:H,8,0)*B7</f>
        <v>0</v>
      </c>
      <c r="D7" s="6">
        <f>VLOOKUP(Mis_Comidas[[#This Row],[Comida]],'Comidas individuales'!A:L,12,0)*B7</f>
        <v>0</v>
      </c>
      <c r="E7" s="6">
        <f>VLOOKUP(Mis_Comidas[[#This Row],[Comida]],'Comidas individuales'!A:M,13,0)*B7</f>
        <v>0</v>
      </c>
      <c r="F7" s="6">
        <f>VLOOKUP(Mis_Comidas[[#This Row],[Comida]],'Comidas individuales'!A:N,14,0)*B7</f>
        <v>0</v>
      </c>
      <c r="G7" s="25">
        <f>VLOOKUP(Mis_Comidas[[#This Row],[Comida]],'Comidas individuales'!A:O,15,0)*B7</f>
        <v>0</v>
      </c>
      <c r="H7" s="6">
        <f>VLOOKUP(Mis_Comidas[[#This Row],[Comida]],'Comidas individuales'!A:P,16,0)*B7</f>
        <v>0</v>
      </c>
      <c r="I7" s="6">
        <f>VLOOKUP(Mis_Comidas[[#This Row],[Comida]],'Comidas individuales'!A:Q,17,0)*B7</f>
        <v>0</v>
      </c>
      <c r="K7" t="s">
        <v>40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6"/>
      <c r="AD7" s="6"/>
    </row>
    <row r="8" spans="1:30" x14ac:dyDescent="0.3">
      <c r="A8" t="s">
        <v>169</v>
      </c>
      <c r="B8">
        <v>50</v>
      </c>
      <c r="C8" s="6">
        <f>VLOOKUP(Mis_Comidas[[#This Row],[Comida]],'Precio por alimento'!A:H,8,0)*B8</f>
        <v>848.75000000000011</v>
      </c>
      <c r="D8" s="6">
        <f>VLOOKUP(Mis_Comidas[[#This Row],[Comida]],'Comidas individuales'!A:L,12,0)*B8</f>
        <v>120</v>
      </c>
      <c r="E8" s="6">
        <f>VLOOKUP(Mis_Comidas[[#This Row],[Comida]],'Comidas individuales'!A:M,13,0)*B8</f>
        <v>10</v>
      </c>
      <c r="F8" s="6">
        <f>VLOOKUP(Mis_Comidas[[#This Row],[Comida]],'Comidas individuales'!A:N,14,0)*B8</f>
        <v>1</v>
      </c>
      <c r="G8" s="6">
        <f>VLOOKUP(Mis_Comidas[[#This Row],[Comida]],'Comidas individuales'!A:O,15,0)*B8</f>
        <v>10</v>
      </c>
      <c r="H8" s="6">
        <f>VLOOKUP(Mis_Comidas[[#This Row],[Comida]],'Comidas individuales'!A:P,16,0)*B8</f>
        <v>0</v>
      </c>
      <c r="I8" s="6">
        <f>VLOOKUP(Mis_Comidas[[#This Row],[Comida]],'Comidas individuales'!A:Q,17,0)*B8</f>
        <v>0.27</v>
      </c>
      <c r="K8" t="s">
        <v>169</v>
      </c>
      <c r="L8">
        <v>50</v>
      </c>
      <c r="M8">
        <v>848.75000000000011</v>
      </c>
      <c r="N8">
        <v>120</v>
      </c>
      <c r="O8">
        <v>10</v>
      </c>
      <c r="P8">
        <v>1</v>
      </c>
      <c r="Q8">
        <v>10</v>
      </c>
      <c r="R8">
        <v>0</v>
      </c>
      <c r="S8">
        <v>0.27</v>
      </c>
      <c r="T8" s="6"/>
      <c r="AD8" s="6"/>
    </row>
    <row r="9" spans="1:30" x14ac:dyDescent="0.3">
      <c r="A9" t="s">
        <v>60</v>
      </c>
      <c r="B9">
        <v>130</v>
      </c>
      <c r="C9" s="6">
        <f>VLOOKUP(Mis_Comidas[[#This Row],[Comida]],'Precio por alimento'!A:H,8,0)*B9</f>
        <v>403</v>
      </c>
      <c r="D9" s="6">
        <f>VLOOKUP(Mis_Comidas[[#This Row],[Comida]],'Comidas individuales'!A:L,12,0)*B9</f>
        <v>23.4</v>
      </c>
      <c r="E9" s="6">
        <f>VLOOKUP(Mis_Comidas[[#This Row],[Comida]],'Comidas individuales'!A:M,13,0)*B9</f>
        <v>0.26</v>
      </c>
      <c r="F9" s="6">
        <f>VLOOKUP(Mis_Comidas[[#This Row],[Comida]],'Comidas individuales'!A:N,14,0)*B9</f>
        <v>3.5100000000000002</v>
      </c>
      <c r="G9" s="6">
        <f>VLOOKUP(Mis_Comidas[[#This Row],[Comida]],'Comidas individuales'!A:O,15,0)*B9</f>
        <v>1.1700000000000002</v>
      </c>
      <c r="H9" s="6">
        <f>VLOOKUP(Mis_Comidas[[#This Row],[Comida]],'Comidas individuales'!A:P,16,0)*B9</f>
        <v>1.56</v>
      </c>
      <c r="I9" s="6">
        <f>VLOOKUP(Mis_Comidas[[#This Row],[Comida]],'Comidas individuales'!A:Q,17,0)*B9</f>
        <v>0.65</v>
      </c>
      <c r="K9" t="s">
        <v>60</v>
      </c>
      <c r="L9">
        <v>130</v>
      </c>
      <c r="M9">
        <v>403</v>
      </c>
      <c r="N9">
        <v>23.4</v>
      </c>
      <c r="O9">
        <v>0.26</v>
      </c>
      <c r="P9">
        <v>3.5100000000000002</v>
      </c>
      <c r="Q9">
        <v>1.1700000000000002</v>
      </c>
      <c r="R9">
        <v>1.56</v>
      </c>
      <c r="S9">
        <v>0.65</v>
      </c>
      <c r="T9" s="6"/>
      <c r="AD9" s="6"/>
    </row>
    <row r="10" spans="1:30" x14ac:dyDescent="0.3">
      <c r="A10" t="s">
        <v>159</v>
      </c>
      <c r="B10">
        <v>0</v>
      </c>
      <c r="C10" s="6">
        <f>VLOOKUP(Mis_Comidas[[#This Row],[Comida]],'Precio por alimento'!A:H,8,0)*B10</f>
        <v>0</v>
      </c>
      <c r="D10" s="6">
        <f>VLOOKUP(Mis_Comidas[[#This Row],[Comida]],'Comidas individuales'!A:L,12,0)*B10</f>
        <v>0</v>
      </c>
      <c r="E10" s="6">
        <f>VLOOKUP(Mis_Comidas[[#This Row],[Comida]],'Comidas individuales'!A:M,13,0)*B10</f>
        <v>0</v>
      </c>
      <c r="F10" s="6">
        <f>VLOOKUP(Mis_Comidas[[#This Row],[Comida]],'Comidas individuales'!A:N,14,0)*B10</f>
        <v>0</v>
      </c>
      <c r="G10" s="6">
        <f>VLOOKUP(Mis_Comidas[[#This Row],[Comida]],'Comidas individuales'!A:O,15,0)*B10</f>
        <v>0</v>
      </c>
      <c r="H10" s="6">
        <f>VLOOKUP(Mis_Comidas[[#This Row],[Comida]],'Comidas individuales'!A:P,16,0)*B10</f>
        <v>0</v>
      </c>
      <c r="I10" s="6">
        <f>VLOOKUP(Mis_Comidas[[#This Row],[Comida]],'Comidas individuales'!A:Q,17,0)*B10</f>
        <v>0</v>
      </c>
      <c r="K10" t="s">
        <v>159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s="6"/>
      <c r="AD10" s="6"/>
    </row>
    <row r="11" spans="1:30" x14ac:dyDescent="0.3">
      <c r="A11" t="s">
        <v>56</v>
      </c>
      <c r="B11">
        <v>0</v>
      </c>
      <c r="C11" s="6">
        <f>VLOOKUP(Mis_Comidas[[#This Row],[Comida]],'Precio por alimento'!A:H,8,0)*B11</f>
        <v>0</v>
      </c>
      <c r="D11" s="6">
        <f>VLOOKUP(Mis_Comidas[[#This Row],[Comida]],'Comidas individuales'!A:L,12,0)*B11</f>
        <v>0</v>
      </c>
      <c r="E11" s="6">
        <f>VLOOKUP(Mis_Comidas[[#This Row],[Comida]],'Comidas individuales'!A:M,13,0)*B11</f>
        <v>0</v>
      </c>
      <c r="F11" s="6">
        <f>VLOOKUP(Mis_Comidas[[#This Row],[Comida]],'Comidas individuales'!A:N,14,0)*B11</f>
        <v>0</v>
      </c>
      <c r="G11" s="6">
        <f>VLOOKUP(Mis_Comidas[[#This Row],[Comida]],'Comidas individuales'!A:O,15,0)*B11</f>
        <v>0</v>
      </c>
      <c r="H11" s="6">
        <f>VLOOKUP(Mis_Comidas[[#This Row],[Comida]],'Comidas individuales'!A:P,16,0)*B11</f>
        <v>0</v>
      </c>
      <c r="I11" s="6">
        <f>VLOOKUP(Mis_Comidas[[#This Row],[Comida]],'Comidas individuales'!A:Q,17,0)*B11</f>
        <v>0</v>
      </c>
      <c r="K11" t="s">
        <v>56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6"/>
      <c r="AD11" s="6"/>
    </row>
    <row r="12" spans="1:30" x14ac:dyDescent="0.3">
      <c r="A12" t="s">
        <v>35</v>
      </c>
      <c r="B12">
        <v>0</v>
      </c>
      <c r="C12" s="6">
        <f>VLOOKUP(Mis_Comidas[[#This Row],[Comida]],'Precio por alimento'!A:H,8,0)*B12</f>
        <v>0</v>
      </c>
      <c r="D12" s="6">
        <f>VLOOKUP(Mis_Comidas[[#This Row],[Comida]],'Comidas individuales'!A:L,12,0)*B12</f>
        <v>0</v>
      </c>
      <c r="E12" s="6">
        <f>VLOOKUP(Mis_Comidas[[#This Row],[Comida]],'Comidas individuales'!A:M,13,0)*B12</f>
        <v>0</v>
      </c>
      <c r="F12" s="6">
        <f>VLOOKUP(Mis_Comidas[[#This Row],[Comida]],'Comidas individuales'!A:N,14,0)*B12</f>
        <v>0</v>
      </c>
      <c r="G12" s="6">
        <f>VLOOKUP(Mis_Comidas[[#This Row],[Comida]],'Comidas individuales'!A:O,15,0)*B12</f>
        <v>0</v>
      </c>
      <c r="H12" s="6">
        <f>VLOOKUP(Mis_Comidas[[#This Row],[Comida]],'Comidas individuales'!A:P,16,0)*B12</f>
        <v>0</v>
      </c>
      <c r="I12" s="6">
        <f>VLOOKUP(Mis_Comidas[[#This Row],[Comida]],'Comidas individuales'!A:Q,17,0)*B12</f>
        <v>0</v>
      </c>
      <c r="K12" t="s">
        <v>35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6"/>
      <c r="AD12" s="6"/>
    </row>
    <row r="13" spans="1:30" x14ac:dyDescent="0.3">
      <c r="A13" t="s">
        <v>158</v>
      </c>
      <c r="B13">
        <v>18</v>
      </c>
      <c r="C13" s="6">
        <f>VLOOKUP(Mis_Comidas[[#This Row],[Comida]],'Precio por alimento'!A:H,8,0)*B13</f>
        <v>359.28000000000003</v>
      </c>
      <c r="D13" s="6">
        <f>VLOOKUP(Mis_Comidas[[#This Row],[Comida]],'Comidas individuales'!A:L,12,0)*B13</f>
        <v>20</v>
      </c>
      <c r="E13" s="6">
        <f>VLOOKUP(Mis_Comidas[[#This Row],[Comida]],'Comidas individuales'!A:M,13,0)*B13</f>
        <v>0.5</v>
      </c>
      <c r="F13" s="6">
        <f>VLOOKUP(Mis_Comidas[[#This Row],[Comida]],'Comidas individuales'!A:N,14,0)*B13</f>
        <v>1.5</v>
      </c>
      <c r="G13" s="6">
        <f>VLOOKUP(Mis_Comidas[[#This Row],[Comida]],'Comidas individuales'!A:O,15,0)*B13</f>
        <v>2.5</v>
      </c>
      <c r="H13" s="6">
        <f>VLOOKUP(Mis_Comidas[[#This Row],[Comida]],'Comidas individuales'!A:P,16,0)*B13</f>
        <v>0</v>
      </c>
      <c r="I13" s="6">
        <f>VLOOKUP(Mis_Comidas[[#This Row],[Comida]],'Comidas individuales'!A:Q,17,0)*B13</f>
        <v>0.34</v>
      </c>
      <c r="K13" t="s">
        <v>158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25"/>
      <c r="AD13" s="6"/>
    </row>
    <row r="14" spans="1:30" x14ac:dyDescent="0.3">
      <c r="A14" t="s">
        <v>148</v>
      </c>
      <c r="B14">
        <v>0</v>
      </c>
      <c r="C14" s="6">
        <f>VLOOKUP(Mis_Comidas[[#This Row],[Comida]],'Precio por alimento'!A:H,8,0)*B14</f>
        <v>0</v>
      </c>
      <c r="D14" s="6">
        <f>VLOOKUP(Mis_Comidas[[#This Row],[Comida]],'Comidas individuales'!A:L,12,0)*B14</f>
        <v>0</v>
      </c>
      <c r="E14" s="6">
        <f>VLOOKUP(Mis_Comidas[[#This Row],[Comida]],'Comidas individuales'!A:M,13,0)*B14</f>
        <v>0</v>
      </c>
      <c r="F14" s="6">
        <f>VLOOKUP(Mis_Comidas[[#This Row],[Comida]],'Comidas individuales'!A:N,14,0)*B14</f>
        <v>0</v>
      </c>
      <c r="G14" s="6">
        <f>VLOOKUP(Mis_Comidas[[#This Row],[Comida]],'Comidas individuales'!A:O,15,0)*B14</f>
        <v>0</v>
      </c>
      <c r="H14" s="6">
        <f>VLOOKUP(Mis_Comidas[[#This Row],[Comida]],'Comidas individuales'!A:P,16,0)*B14</f>
        <v>0</v>
      </c>
      <c r="I14" s="6">
        <f>VLOOKUP(Mis_Comidas[[#This Row],[Comida]],'Comidas individuales'!A:Q,17,0)*B14</f>
        <v>0</v>
      </c>
      <c r="K14" t="s">
        <v>148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6"/>
      <c r="AD14" s="6"/>
    </row>
    <row r="15" spans="1:30" x14ac:dyDescent="0.3">
      <c r="A15" t="s">
        <v>42</v>
      </c>
      <c r="B15">
        <v>0</v>
      </c>
      <c r="C15" s="6" t="e">
        <f>VLOOKUP(Mis_Comidas[[#This Row],[Comida]],'Precio por alimento'!A:H,8,0)*B15</f>
        <v>#N/A</v>
      </c>
      <c r="D15" s="6">
        <f>VLOOKUP(Mis_Comidas[[#This Row],[Comida]],'Comidas individuales'!A:L,12,0)*B15</f>
        <v>0</v>
      </c>
      <c r="E15" s="6">
        <f>VLOOKUP(Mis_Comidas[[#This Row],[Comida]],'Comidas individuales'!A:M,13,0)*B15</f>
        <v>0</v>
      </c>
      <c r="F15" s="6">
        <f>VLOOKUP(Mis_Comidas[[#This Row],[Comida]],'Comidas individuales'!A:N,14,0)*B15</f>
        <v>0</v>
      </c>
      <c r="G15" s="6">
        <f>VLOOKUP(Mis_Comidas[[#This Row],[Comida]],'Comidas individuales'!A:O,15,0)*B15</f>
        <v>0</v>
      </c>
      <c r="H15" s="6">
        <f>VLOOKUP(Mis_Comidas[[#This Row],[Comida]],'Comidas individuales'!A:P,16,0)*B15</f>
        <v>0</v>
      </c>
      <c r="I15" s="6">
        <f>VLOOKUP(Mis_Comidas[[#This Row],[Comida]],'Comidas individuales'!A:Q,17,0)*B15</f>
        <v>0</v>
      </c>
      <c r="K15" t="s">
        <v>42</v>
      </c>
      <c r="L15">
        <v>0</v>
      </c>
      <c r="M15" t="e">
        <v>#N/A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6"/>
      <c r="AD15" s="6"/>
    </row>
    <row r="16" spans="1:30" x14ac:dyDescent="0.3">
      <c r="A16" t="s">
        <v>211</v>
      </c>
      <c r="B16">
        <v>100</v>
      </c>
      <c r="C16" s="6">
        <f>VLOOKUP(Mis_Comidas[[#This Row],[Comida]],'Precio por alimento'!A:H,8,0)*B16</f>
        <v>291.66666666666663</v>
      </c>
      <c r="D16" s="6">
        <f>VLOOKUP(Mis_Comidas[[#This Row],[Comida]],'Comidas individuales'!A:L,12,0)*B16</f>
        <v>41.40625</v>
      </c>
      <c r="E16" s="6">
        <f>VLOOKUP(Mis_Comidas[[#This Row],[Comida]],'Comidas individuales'!A:M,13,0)*B16</f>
        <v>0.234375</v>
      </c>
      <c r="F16" s="6">
        <f>VLOOKUP(Mis_Comidas[[#This Row],[Comida]],'Comidas individuales'!A:N,14,0)*B16</f>
        <v>6.7968750000000009</v>
      </c>
      <c r="G16" s="6">
        <f>VLOOKUP(Mis_Comidas[[#This Row],[Comida]],'Comidas individuales'!A:O,15,0)*B16</f>
        <v>0.9375</v>
      </c>
      <c r="H16" s="6">
        <f>VLOOKUP(Mis_Comidas[[#This Row],[Comida]],'Comidas individuales'!A:P,16,0)*B16</f>
        <v>2.8125</v>
      </c>
      <c r="I16" s="6">
        <f>VLOOKUP(Mis_Comidas[[#This Row],[Comida]],'Comidas individuales'!A:Q,17,0)*B16</f>
        <v>7.8125E-2</v>
      </c>
      <c r="K16" t="s">
        <v>211</v>
      </c>
      <c r="L16">
        <v>100</v>
      </c>
      <c r="M16">
        <v>291.66666666666663</v>
      </c>
      <c r="N16">
        <v>41.40625</v>
      </c>
      <c r="O16">
        <v>0.234375</v>
      </c>
      <c r="P16">
        <v>6.7968750000000009</v>
      </c>
      <c r="Q16">
        <v>0.9375</v>
      </c>
      <c r="R16">
        <v>2.8125</v>
      </c>
      <c r="S16">
        <v>7.8125E-2</v>
      </c>
      <c r="T16" s="6"/>
      <c r="AD16" s="6"/>
    </row>
    <row r="17" spans="1:30" x14ac:dyDescent="0.3">
      <c r="A17" t="s">
        <v>210</v>
      </c>
      <c r="B17">
        <v>90</v>
      </c>
      <c r="C17" s="6">
        <f>VLOOKUP(Mis_Comidas[[#This Row],[Comida]],'Precio por alimento'!A:H,8,0)*B17</f>
        <v>900</v>
      </c>
      <c r="D17" s="6">
        <f>VLOOKUP(Mis_Comidas[[#This Row],[Comida]],'Comidas individuales'!A:L,12,0)*B17</f>
        <v>60</v>
      </c>
      <c r="E17" s="6">
        <f>VLOOKUP(Mis_Comidas[[#This Row],[Comida]],'Comidas individuales'!A:M,13,0)*B17</f>
        <v>0.9</v>
      </c>
      <c r="F17" s="6">
        <f>VLOOKUP(Mis_Comidas[[#This Row],[Comida]],'Comidas individuales'!A:N,14,0)*B17</f>
        <v>1.65</v>
      </c>
      <c r="G17" s="6">
        <f>VLOOKUP(Mis_Comidas[[#This Row],[Comida]],'Comidas individuales'!A:O,15,0)*B17</f>
        <v>2.6100000000000003</v>
      </c>
      <c r="H17" s="6">
        <f>VLOOKUP(Mis_Comidas[[#This Row],[Comida]],'Comidas individuales'!A:P,16,0)*B17</f>
        <v>2.8499999999999996</v>
      </c>
      <c r="I17" s="6">
        <f>VLOOKUP(Mis_Comidas[[#This Row],[Comida]],'Comidas individuales'!A:Q,17,0)*B17</f>
        <v>0.52499999999999991</v>
      </c>
      <c r="K17" t="s">
        <v>210</v>
      </c>
      <c r="L17">
        <v>90</v>
      </c>
      <c r="M17">
        <v>900</v>
      </c>
      <c r="N17">
        <v>60</v>
      </c>
      <c r="O17">
        <v>0.9</v>
      </c>
      <c r="P17">
        <v>1.65</v>
      </c>
      <c r="Q17">
        <v>2.6100000000000003</v>
      </c>
      <c r="R17">
        <v>2.8499999999999996</v>
      </c>
      <c r="S17">
        <v>0.52499999999999991</v>
      </c>
      <c r="T17" s="6"/>
      <c r="AD17" s="6"/>
    </row>
    <row r="18" spans="1:30" x14ac:dyDescent="0.3">
      <c r="A18" t="s">
        <v>68</v>
      </c>
      <c r="B18">
        <v>0</v>
      </c>
      <c r="C18" s="6" t="e">
        <f>VLOOKUP(Mis_Comidas[[#This Row],[Comida]],'Precio por alimento'!A:H,8,0)*B18</f>
        <v>#N/A</v>
      </c>
      <c r="D18" s="6">
        <f>VLOOKUP(Mis_Comidas[[#This Row],[Comida]],'Comidas individuales'!A:L,12,0)*B18</f>
        <v>0</v>
      </c>
      <c r="E18" s="6">
        <f>VLOOKUP(Mis_Comidas[[#This Row],[Comida]],'Comidas individuales'!A:M,13,0)*B18</f>
        <v>0</v>
      </c>
      <c r="F18" s="6">
        <f>VLOOKUP(Mis_Comidas[[#This Row],[Comida]],'Comidas individuales'!A:N,14,0)*B18</f>
        <v>0</v>
      </c>
      <c r="G18" s="6">
        <f>VLOOKUP(Mis_Comidas[[#This Row],[Comida]],'Comidas individuales'!A:O,15,0)*B18</f>
        <v>0</v>
      </c>
      <c r="H18" s="6">
        <f>VLOOKUP(Mis_Comidas[[#This Row],[Comida]],'Comidas individuales'!A:P,16,0)*B18</f>
        <v>0</v>
      </c>
      <c r="I18" s="6">
        <f>VLOOKUP(Mis_Comidas[[#This Row],[Comida]],'Comidas individuales'!A:Q,17,0)*B18</f>
        <v>0</v>
      </c>
      <c r="K18" t="s">
        <v>68</v>
      </c>
      <c r="L18">
        <v>0</v>
      </c>
      <c r="M18" t="e">
        <v>#N/A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 s="6"/>
      <c r="AD18" s="6"/>
    </row>
    <row r="19" spans="1:30" x14ac:dyDescent="0.3">
      <c r="A19" t="s">
        <v>157</v>
      </c>
      <c r="B19">
        <v>0</v>
      </c>
      <c r="C19" s="6">
        <f>VLOOKUP(Mis_Comidas[[#This Row],[Comida]],'Precio por alimento'!A:H,8,0)*B19</f>
        <v>0</v>
      </c>
      <c r="D19" s="6">
        <f>VLOOKUP(Mis_Comidas[[#This Row],[Comida]],'Comidas individuales'!A:L,12,0)*B19</f>
        <v>0</v>
      </c>
      <c r="E19" s="6">
        <f>VLOOKUP(Mis_Comidas[[#This Row],[Comida]],'Comidas individuales'!A:M,13,0)*B19</f>
        <v>0</v>
      </c>
      <c r="F19" s="6">
        <f>VLOOKUP(Mis_Comidas[[#This Row],[Comida]],'Comidas individuales'!A:N,14,0)*B19</f>
        <v>0</v>
      </c>
      <c r="G19" s="6">
        <f>VLOOKUP(Mis_Comidas[[#This Row],[Comida]],'Comidas individuales'!A:O,15,0)*B19</f>
        <v>0</v>
      </c>
      <c r="H19" s="6">
        <f>VLOOKUP(Mis_Comidas[[#This Row],[Comida]],'Comidas individuales'!A:P,16,0)*B19</f>
        <v>0</v>
      </c>
      <c r="I19" s="6">
        <f>VLOOKUP(Mis_Comidas[[#This Row],[Comida]],'Comidas individuales'!A:Q,17,0)*B19</f>
        <v>0</v>
      </c>
      <c r="K19" t="s">
        <v>157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6"/>
      <c r="AD19" s="6"/>
    </row>
    <row r="20" spans="1:30" x14ac:dyDescent="0.3">
      <c r="A20" t="s">
        <v>61</v>
      </c>
      <c r="B20">
        <v>0</v>
      </c>
      <c r="C20" s="6">
        <f>VLOOKUP(Mis_Comidas[[#This Row],[Comida]],'Precio por alimento'!A:H,8,0)*B20</f>
        <v>0</v>
      </c>
      <c r="D20" s="6">
        <f>VLOOKUP(Mis_Comidas[[#This Row],[Comida]],'Comidas individuales'!A:L,12,0)*B20</f>
        <v>0</v>
      </c>
      <c r="E20" s="6">
        <f>VLOOKUP(Mis_Comidas[[#This Row],[Comida]],'Comidas individuales'!A:M,13,0)*B20</f>
        <v>0</v>
      </c>
      <c r="F20" s="6">
        <f>VLOOKUP(Mis_Comidas[[#This Row],[Comida]],'Comidas individuales'!A:N,14,0)*B20</f>
        <v>0</v>
      </c>
      <c r="G20" s="6">
        <f>VLOOKUP(Mis_Comidas[[#This Row],[Comida]],'Comidas individuales'!A:O,15,0)*B20</f>
        <v>0</v>
      </c>
      <c r="H20" s="6">
        <f>VLOOKUP(Mis_Comidas[[#This Row],[Comida]],'Comidas individuales'!A:P,16,0)*B20</f>
        <v>0</v>
      </c>
      <c r="I20" s="6">
        <f>VLOOKUP(Mis_Comidas[[#This Row],[Comida]],'Comidas individuales'!A:Q,17,0)*B20</f>
        <v>0</v>
      </c>
      <c r="K20" t="s">
        <v>61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6"/>
      <c r="AD20" s="6"/>
    </row>
    <row r="21" spans="1:30" x14ac:dyDescent="0.3">
      <c r="A21" t="s">
        <v>58</v>
      </c>
      <c r="B21">
        <v>0</v>
      </c>
      <c r="C21" s="6">
        <f>VLOOKUP(Mis_Comidas[[#This Row],[Comida]],'Precio por alimento'!A:H,8,0)*B21</f>
        <v>0</v>
      </c>
      <c r="D21" s="6">
        <f>VLOOKUP(Mis_Comidas[[#This Row],[Comida]],'Comidas individuales'!A:L,12,0)*B21</f>
        <v>0</v>
      </c>
      <c r="E21" s="6">
        <f>VLOOKUP(Mis_Comidas[[#This Row],[Comida]],'Comidas individuales'!A:M,13,0)*B21</f>
        <v>0</v>
      </c>
      <c r="F21" s="6">
        <f>VLOOKUP(Mis_Comidas[[#This Row],[Comida]],'Comidas individuales'!A:N,14,0)*B21</f>
        <v>0</v>
      </c>
      <c r="G21" s="6">
        <f>VLOOKUP(Mis_Comidas[[#This Row],[Comida]],'Comidas individuales'!A:O,15,0)*B21</f>
        <v>0</v>
      </c>
      <c r="H21" s="6">
        <f>VLOOKUP(Mis_Comidas[[#This Row],[Comida]],'Comidas individuales'!A:P,16,0)*B21</f>
        <v>0</v>
      </c>
      <c r="I21" s="6">
        <f>VLOOKUP(Mis_Comidas[[#This Row],[Comida]],'Comidas individuales'!A:Q,17,0)*B21</f>
        <v>0</v>
      </c>
      <c r="K21" t="s">
        <v>58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s="6"/>
      <c r="AD21" s="6"/>
    </row>
    <row r="22" spans="1:30" x14ac:dyDescent="0.3">
      <c r="A22" t="s">
        <v>63</v>
      </c>
      <c r="B22">
        <v>0</v>
      </c>
      <c r="C22" s="6">
        <f>VLOOKUP(Mis_Comidas[[#This Row],[Comida]],'Precio por alimento'!A:H,8,0)*B22</f>
        <v>0</v>
      </c>
      <c r="D22" s="6">
        <f>VLOOKUP(Mis_Comidas[[#This Row],[Comida]],'Comidas individuales'!A:L,12,0)*B22</f>
        <v>0</v>
      </c>
      <c r="E22" s="6">
        <f>VLOOKUP(Mis_Comidas[[#This Row],[Comida]],'Comidas individuales'!A:M,13,0)*B22</f>
        <v>0</v>
      </c>
      <c r="F22" s="6">
        <f>VLOOKUP(Mis_Comidas[[#This Row],[Comida]],'Comidas individuales'!A:N,14,0)*B22</f>
        <v>0</v>
      </c>
      <c r="G22" s="6">
        <f>VLOOKUP(Mis_Comidas[[#This Row],[Comida]],'Comidas individuales'!A:O,15,0)*B22</f>
        <v>0</v>
      </c>
      <c r="H22" s="6">
        <f>VLOOKUP(Mis_Comidas[[#This Row],[Comida]],'Comidas individuales'!A:P,16,0)*B22</f>
        <v>0</v>
      </c>
      <c r="I22" s="6">
        <f>VLOOKUP(Mis_Comidas[[#This Row],[Comida]],'Comidas individuales'!A:Q,17,0)*B22</f>
        <v>0</v>
      </c>
      <c r="K22" t="s">
        <v>63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s="6"/>
      <c r="AD22" s="6"/>
    </row>
    <row r="23" spans="1:30" x14ac:dyDescent="0.3">
      <c r="A23" t="s">
        <v>27</v>
      </c>
      <c r="B23">
        <v>0</v>
      </c>
      <c r="C23" s="6"/>
      <c r="D23" s="6">
        <f>VLOOKUP(Mis_Comidas[[#This Row],[Comida]],'Comidas individuales'!A:L,12,0)*B23</f>
        <v>0</v>
      </c>
      <c r="E23" s="6">
        <f>VLOOKUP(Mis_Comidas[[#This Row],[Comida]],'Comidas individuales'!A:M,13,0)*B23</f>
        <v>0</v>
      </c>
      <c r="F23" s="6">
        <f>VLOOKUP(Mis_Comidas[[#This Row],[Comida]],'Comidas individuales'!A:N,14,0)*B23</f>
        <v>0</v>
      </c>
      <c r="G23" s="6">
        <f>VLOOKUP(Mis_Comidas[[#This Row],[Comida]],'Comidas individuales'!A:O,15,0)*B23</f>
        <v>0</v>
      </c>
      <c r="H23" s="6">
        <f>VLOOKUP(Mis_Comidas[[#This Row],[Comida]],'Comidas individuales'!A:P,16,0)*B23</f>
        <v>0</v>
      </c>
      <c r="I23" s="6">
        <f>VLOOKUP(Mis_Comidas[[#This Row],[Comida]],'Comidas individuales'!A:Q,17,0)*B23</f>
        <v>0</v>
      </c>
      <c r="K23" t="s">
        <v>27</v>
      </c>
      <c r="L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6"/>
      <c r="AD23" s="6"/>
    </row>
    <row r="24" spans="1:30" x14ac:dyDescent="0.3">
      <c r="A24" t="s">
        <v>150</v>
      </c>
      <c r="B24">
        <v>0</v>
      </c>
      <c r="C24" s="6"/>
      <c r="D24" s="6">
        <f>VLOOKUP(Mis_Comidas[[#This Row],[Comida]],'Comidas individuales'!A:L,12,0)*B24</f>
        <v>0</v>
      </c>
      <c r="E24" s="6">
        <f>VLOOKUP(Mis_Comidas[[#This Row],[Comida]],'Comidas individuales'!A:M,13,0)*B24</f>
        <v>0</v>
      </c>
      <c r="F24" s="6">
        <f>VLOOKUP(Mis_Comidas[[#This Row],[Comida]],'Comidas individuales'!A:N,14,0)*B24</f>
        <v>0</v>
      </c>
      <c r="G24" s="6">
        <f>VLOOKUP(Mis_Comidas[[#This Row],[Comida]],'Comidas individuales'!A:O,15,0)*B24</f>
        <v>0</v>
      </c>
      <c r="H24" s="6">
        <f>VLOOKUP(Mis_Comidas[[#This Row],[Comida]],'Comidas individuales'!A:P,16,0)*B24</f>
        <v>0</v>
      </c>
      <c r="I24" s="6">
        <f>VLOOKUP(Mis_Comidas[[#This Row],[Comida]],'Comidas individuales'!A:Q,17,0)*B24</f>
        <v>0</v>
      </c>
      <c r="K24" t="s">
        <v>150</v>
      </c>
      <c r="L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6"/>
      <c r="AD24" s="6"/>
    </row>
    <row r="25" spans="1:30" x14ac:dyDescent="0.3">
      <c r="A25" t="s">
        <v>47</v>
      </c>
      <c r="B25">
        <v>0</v>
      </c>
      <c r="C25" t="e">
        <f>VLOOKUP(Mis_Comidas[[#This Row],[Comida]],'Precio por alimento'!A:H,8,0)*B25</f>
        <v>#N/A</v>
      </c>
      <c r="D25" s="6">
        <f>VLOOKUP(Mis_Comidas[[#This Row],[Comida]],'Comidas individuales'!A:L,12,0)*B25</f>
        <v>0</v>
      </c>
      <c r="E25" s="6">
        <f>VLOOKUP(Mis_Comidas[[#This Row],[Comida]],'Comidas individuales'!A:M,13,0)*B25</f>
        <v>0</v>
      </c>
      <c r="F25" s="6">
        <f>VLOOKUP(Mis_Comidas[[#This Row],[Comida]],'Comidas individuales'!A:N,14,0)*B25</f>
        <v>0</v>
      </c>
      <c r="G25" s="25">
        <f>VLOOKUP(Mis_Comidas[[#This Row],[Comida]],'Comidas individuales'!A:O,15,0)*B25</f>
        <v>0</v>
      </c>
      <c r="H25" s="6">
        <f>VLOOKUP(Mis_Comidas[[#This Row],[Comida]],'Comidas individuales'!A:P,16,0)*B25</f>
        <v>0</v>
      </c>
      <c r="I25" s="6">
        <f>VLOOKUP(Mis_Comidas[[#This Row],[Comida]],'Comidas individuales'!A:Q,17,0)*B25</f>
        <v>0</v>
      </c>
      <c r="K25" t="s">
        <v>47</v>
      </c>
      <c r="L25">
        <v>0</v>
      </c>
      <c r="M25" t="e">
        <v>#N/A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s="6"/>
      <c r="AD25" s="6"/>
    </row>
    <row r="26" spans="1:30" x14ac:dyDescent="0.3">
      <c r="C26" s="6" t="e">
        <f t="shared" ref="C26:I26" si="0">SUM(C2:C25)</f>
        <v>#N/A</v>
      </c>
      <c r="D26" s="6">
        <f t="shared" si="0"/>
        <v>1152.40625</v>
      </c>
      <c r="E26" s="6">
        <f t="shared" si="0"/>
        <v>51.734375</v>
      </c>
      <c r="F26" s="6">
        <f t="shared" si="0"/>
        <v>51.606874999999995</v>
      </c>
      <c r="G26" s="6">
        <f t="shared" si="0"/>
        <v>104.4875</v>
      </c>
      <c r="H26" s="6">
        <f t="shared" si="0"/>
        <v>8.2225000000000001</v>
      </c>
      <c r="I26" s="6">
        <f t="shared" si="0"/>
        <v>2.7193749999999999</v>
      </c>
      <c r="M26" t="e">
        <v>#N/A</v>
      </c>
      <c r="N26">
        <f>SUM(N2:N25)</f>
        <v>977.60624999999993</v>
      </c>
      <c r="O26">
        <f>SUM(O2:O25)</f>
        <v>42.864374999999995</v>
      </c>
      <c r="P26">
        <f>SUM(P2:P25)</f>
        <v>50.106874999999995</v>
      </c>
      <c r="Q26">
        <f>SUM(Q2:Q25)</f>
        <v>83.177500000000009</v>
      </c>
      <c r="R26">
        <f>SUM(R2:R25)</f>
        <v>8.2225000000000001</v>
      </c>
      <c r="S26">
        <f>SUM(S2:S25)</f>
        <v>2.2893749999999997</v>
      </c>
      <c r="T26" s="6"/>
      <c r="AD26" s="6"/>
    </row>
    <row r="29" spans="1:30" x14ac:dyDescent="0.3">
      <c r="A29" t="s">
        <v>10</v>
      </c>
      <c r="B29" t="s">
        <v>1</v>
      </c>
      <c r="C29" t="s">
        <v>176</v>
      </c>
      <c r="D29" t="s">
        <v>2</v>
      </c>
      <c r="E29" t="s">
        <v>4</v>
      </c>
      <c r="F29" t="s">
        <v>3</v>
      </c>
      <c r="G29" t="s">
        <v>175</v>
      </c>
      <c r="H29" t="s">
        <v>5</v>
      </c>
      <c r="I29" t="s">
        <v>6</v>
      </c>
      <c r="K29" t="s">
        <v>10</v>
      </c>
      <c r="L29" t="s">
        <v>1</v>
      </c>
      <c r="M29" t="s">
        <v>176</v>
      </c>
      <c r="N29" t="s">
        <v>2</v>
      </c>
      <c r="O29" t="s">
        <v>4</v>
      </c>
      <c r="P29" t="s">
        <v>3</v>
      </c>
      <c r="Q29" t="s">
        <v>175</v>
      </c>
      <c r="R29" t="s">
        <v>5</v>
      </c>
      <c r="S29" t="s">
        <v>6</v>
      </c>
    </row>
    <row r="30" spans="1:30" x14ac:dyDescent="0.3">
      <c r="A30" t="s">
        <v>45</v>
      </c>
      <c r="B30" s="6">
        <v>50</v>
      </c>
      <c r="C30" s="6">
        <f>VLOOKUP(Mis_comidas2[[#This Row],[Comida]],'Precio por alimento'!$A:$H,8,0)*B30</f>
        <v>482.91666666666669</v>
      </c>
      <c r="D30" s="6">
        <f>VLOOKUP(Mis_comidas2[[#This Row],[Comida]],'Comidas individuales'!$A:$L,12,0)*B30</f>
        <v>77.5</v>
      </c>
      <c r="E30" s="6">
        <f>VLOOKUP(Mis_comidas2[[#This Row],[Comida]],'Comidas individuales'!$A:$M,13,0)*B30</f>
        <v>5.3333333333333339</v>
      </c>
      <c r="F30" s="6">
        <f>VLOOKUP(Mis_comidas2[[#This Row],[Comida]],'Comidas individuales'!$A:$N,14,0)*B30</f>
        <v>0.58333333333333326</v>
      </c>
      <c r="G30" s="6">
        <f>VLOOKUP(Mis_comidas2[[#This Row],[Comida]],'Comidas individuales'!$A:$O,15,0)*B30</f>
        <v>6.25</v>
      </c>
      <c r="H30" s="6">
        <f>VLOOKUP(Mis_comidas2[[#This Row],[Comida]],'Comidas individuales'!$A:$P,16,0)*B30</f>
        <v>0</v>
      </c>
      <c r="I30" s="6">
        <f>VLOOKUP(Mis_comidas2[[#This Row],[Comida]],'Comidas individuales'!$A:$Q,17,0)*B30</f>
        <v>8.3333333333333343E-2</v>
      </c>
      <c r="K30" t="s">
        <v>45</v>
      </c>
      <c r="L30" s="6">
        <v>50</v>
      </c>
      <c r="M30" s="6">
        <f>VLOOKUP(Mis_comidas217[[#This Row],[Comida]],'Precio por alimento'!$A:$H,8,0)*L30</f>
        <v>482.91666666666669</v>
      </c>
      <c r="N30" s="6">
        <f>VLOOKUP(Mis_comidas217[[#This Row],[Comida]],'Comidas individuales'!$A:$L,12,0)*L30</f>
        <v>77.5</v>
      </c>
      <c r="O30" s="6">
        <f>VLOOKUP(Mis_comidas217[[#This Row],[Comida]],'Comidas individuales'!$A:$M,13,0)*L30</f>
        <v>5.3333333333333339</v>
      </c>
      <c r="P30" s="6">
        <f>VLOOKUP(Mis_comidas217[[#This Row],[Comida]],'Comidas individuales'!$A:$N,14,0)*L30</f>
        <v>0.58333333333333326</v>
      </c>
      <c r="Q30" s="6">
        <f>VLOOKUP(Mis_comidas217[[#This Row],[Comida]],'Comidas individuales'!$A:$O,15,0)*L30</f>
        <v>6.25</v>
      </c>
      <c r="R30" s="6">
        <f>VLOOKUP(Mis_comidas217[[#This Row],[Comida]],'Comidas individuales'!$A:$P,16,0)*L30</f>
        <v>0</v>
      </c>
      <c r="S30" s="6">
        <f>VLOOKUP(Mis_comidas217[[#This Row],[Comida]],'Comidas individuales'!$A:$Q,17,0)*L30</f>
        <v>8.3333333333333343E-2</v>
      </c>
    </row>
    <row r="31" spans="1:30" x14ac:dyDescent="0.3">
      <c r="A31" t="s">
        <v>39</v>
      </c>
      <c r="B31" s="6">
        <v>100</v>
      </c>
      <c r="C31" s="6">
        <f>VLOOKUP(Mis_comidas2[[#This Row],[Comida]],'Precio por alimento'!$A:$H,8,0)*B31</f>
        <v>243.33333333333331</v>
      </c>
      <c r="D31" s="6">
        <f>VLOOKUP(Mis_comidas2[[#This Row],[Comida]],'Comidas individuales'!$A:$L,12,0)*B31</f>
        <v>33.333333333333329</v>
      </c>
      <c r="E31" s="6">
        <f>VLOOKUP(Mis_comidas2[[#This Row],[Comida]],'Comidas individuales'!$A:$M,13,0)*B31</f>
        <v>0</v>
      </c>
      <c r="F31" s="6">
        <f>VLOOKUP(Mis_comidas2[[#This Row],[Comida]],'Comidas individuales'!$A:$N,14,0)*B31</f>
        <v>4.583333333333333</v>
      </c>
      <c r="G31" s="6">
        <f>VLOOKUP(Mis_comidas2[[#This Row],[Comida]],'Comidas individuales'!$A:$O,15,0)*B31</f>
        <v>2.9166666666666665</v>
      </c>
      <c r="H31" s="6">
        <f>VLOOKUP(Mis_comidas2[[#This Row],[Comida]],'Comidas individuales'!$A:$P,16,0)*B31</f>
        <v>0</v>
      </c>
      <c r="I31" s="6">
        <f>VLOOKUP(Mis_comidas2[[#This Row],[Comida]],'Comidas individuales'!$A:$Q,17,0)*B31</f>
        <v>5.2083333333333336E-2</v>
      </c>
      <c r="K31" t="s">
        <v>39</v>
      </c>
      <c r="L31" s="6">
        <v>100</v>
      </c>
      <c r="M31" s="6">
        <f>VLOOKUP(Mis_comidas217[[#This Row],[Comida]],'Precio por alimento'!$A:$H,8,0)*L31</f>
        <v>243.33333333333331</v>
      </c>
      <c r="N31" s="6">
        <f>VLOOKUP(Mis_comidas217[[#This Row],[Comida]],'Comidas individuales'!$A:$L,12,0)*L31</f>
        <v>33.333333333333329</v>
      </c>
      <c r="O31" s="6">
        <f>VLOOKUP(Mis_comidas217[[#This Row],[Comida]],'Comidas individuales'!$A:$M,13,0)*L31</f>
        <v>0</v>
      </c>
      <c r="P31" s="6">
        <f>VLOOKUP(Mis_comidas217[[#This Row],[Comida]],'Comidas individuales'!$A:$N,14,0)*L31</f>
        <v>4.583333333333333</v>
      </c>
      <c r="Q31" s="6">
        <f>VLOOKUP(Mis_comidas217[[#This Row],[Comida]],'Comidas individuales'!$A:$O,15,0)*L31</f>
        <v>2.9166666666666665</v>
      </c>
      <c r="R31" s="6">
        <f>VLOOKUP(Mis_comidas217[[#This Row],[Comida]],'Comidas individuales'!$A:$P,16,0)*L31</f>
        <v>0</v>
      </c>
      <c r="S31" s="6">
        <f>VLOOKUP(Mis_comidas217[[#This Row],[Comida]],'Comidas individuales'!$A:$Q,17,0)*L31</f>
        <v>5.2083333333333336E-2</v>
      </c>
    </row>
    <row r="32" spans="1:30" x14ac:dyDescent="0.3">
      <c r="A32" t="s">
        <v>159</v>
      </c>
      <c r="B32" s="6">
        <v>80</v>
      </c>
      <c r="C32" s="6">
        <f>VLOOKUP(Mis_comidas2[[#This Row],[Comida]],'Precio por alimento'!$A:$H,8,0)*B32</f>
        <v>420</v>
      </c>
      <c r="D32" s="6">
        <f>VLOOKUP(Mis_comidas2[[#This Row],[Comida]],'Comidas individuales'!$A:$L,12,0)*B32</f>
        <v>180</v>
      </c>
      <c r="E32" s="6">
        <f>VLOOKUP(Mis_comidas2[[#This Row],[Comida]],'Comidas individuales'!$A:$M,13,0)*B32</f>
        <v>6</v>
      </c>
      <c r="F32" s="6">
        <f>VLOOKUP(Mis_comidas2[[#This Row],[Comida]],'Comidas individuales'!$A:$N,14,0)*B32</f>
        <v>24</v>
      </c>
      <c r="G32" s="6">
        <f>VLOOKUP(Mis_comidas2[[#This Row],[Comida]],'Comidas individuales'!$A:$O,15,0)*B32</f>
        <v>4</v>
      </c>
      <c r="H32" s="6">
        <f>VLOOKUP(Mis_comidas2[[#This Row],[Comida]],'Comidas individuales'!$A:$P,16,0)*B32</f>
        <v>4</v>
      </c>
      <c r="I32" s="6">
        <f>VLOOKUP(Mis_comidas2[[#This Row],[Comida]],'Comidas individuales'!$A:$Q,17,0)*B32</f>
        <v>0.19</v>
      </c>
      <c r="K32" t="s">
        <v>159</v>
      </c>
      <c r="L32" s="6">
        <v>80</v>
      </c>
      <c r="M32" s="6">
        <f>VLOOKUP(Mis_comidas217[[#This Row],[Comida]],'Precio por alimento'!$A:$H,8,0)*L32</f>
        <v>420</v>
      </c>
      <c r="N32" s="6">
        <f>VLOOKUP(Mis_comidas217[[#This Row],[Comida]],'Comidas individuales'!$A:$L,12,0)*L32</f>
        <v>180</v>
      </c>
      <c r="O32" s="6">
        <f>VLOOKUP(Mis_comidas217[[#This Row],[Comida]],'Comidas individuales'!$A:$M,13,0)*L32</f>
        <v>6</v>
      </c>
      <c r="P32" s="6">
        <f>VLOOKUP(Mis_comidas217[[#This Row],[Comida]],'Comidas individuales'!$A:$N,14,0)*L32</f>
        <v>24</v>
      </c>
      <c r="Q32" s="6">
        <f>VLOOKUP(Mis_comidas217[[#This Row],[Comida]],'Comidas individuales'!$A:$O,15,0)*L32</f>
        <v>4</v>
      </c>
      <c r="R32" s="6">
        <f>VLOOKUP(Mis_comidas217[[#This Row],[Comida]],'Comidas individuales'!$A:$P,16,0)*L32</f>
        <v>4</v>
      </c>
      <c r="S32" s="6">
        <f>VLOOKUP(Mis_comidas217[[#This Row],[Comida]],'Comidas individuales'!$A:$Q,17,0)*L32</f>
        <v>0.19</v>
      </c>
    </row>
    <row r="33" spans="1:19" x14ac:dyDescent="0.3">
      <c r="A33" t="s">
        <v>169</v>
      </c>
      <c r="B33" s="6">
        <v>25</v>
      </c>
      <c r="C33" s="6">
        <f>VLOOKUP(Mis_comidas2[[#This Row],[Comida]],'Precio por alimento'!$A:$H,8,0)*B33</f>
        <v>424.37500000000006</v>
      </c>
      <c r="D33" s="6">
        <f>VLOOKUP(Mis_comidas2[[#This Row],[Comida]],'Comidas individuales'!$A:$L,12,0)*B33</f>
        <v>60</v>
      </c>
      <c r="E33" s="6">
        <f>VLOOKUP(Mis_comidas2[[#This Row],[Comida]],'Comidas individuales'!$A:$M,13,0)*B33</f>
        <v>5</v>
      </c>
      <c r="F33" s="6">
        <f>VLOOKUP(Mis_comidas2[[#This Row],[Comida]],'Comidas individuales'!$A:$N,14,0)*B33</f>
        <v>0.5</v>
      </c>
      <c r="G33" s="6">
        <f>VLOOKUP(Mis_comidas2[[#This Row],[Comida]],'Comidas individuales'!$A:$O,15,0)*B33</f>
        <v>5</v>
      </c>
      <c r="H33" s="6">
        <f>VLOOKUP(Mis_comidas2[[#This Row],[Comida]],'Comidas individuales'!$A:$P,16,0)*B33</f>
        <v>0</v>
      </c>
      <c r="I33" s="6">
        <f>VLOOKUP(Mis_comidas2[[#This Row],[Comida]],'Comidas individuales'!$A:$Q,17,0)*B33</f>
        <v>0.13500000000000001</v>
      </c>
      <c r="K33" t="s">
        <v>169</v>
      </c>
      <c r="L33" s="6">
        <v>25</v>
      </c>
      <c r="M33" s="6">
        <f>VLOOKUP(Mis_comidas217[[#This Row],[Comida]],'Precio por alimento'!$A:$H,8,0)*L33</f>
        <v>424.37500000000006</v>
      </c>
      <c r="N33" s="6">
        <f>VLOOKUP(Mis_comidas217[[#This Row],[Comida]],'Comidas individuales'!$A:$L,12,0)*L33</f>
        <v>60</v>
      </c>
      <c r="O33" s="6">
        <f>VLOOKUP(Mis_comidas217[[#This Row],[Comida]],'Comidas individuales'!$A:$M,13,0)*L33</f>
        <v>5</v>
      </c>
      <c r="P33" s="6">
        <f>VLOOKUP(Mis_comidas217[[#This Row],[Comida]],'Comidas individuales'!$A:$N,14,0)*L33</f>
        <v>0.5</v>
      </c>
      <c r="Q33" s="6">
        <f>VLOOKUP(Mis_comidas217[[#This Row],[Comida]],'Comidas individuales'!$A:$O,15,0)*L33</f>
        <v>5</v>
      </c>
      <c r="R33" s="6">
        <f>VLOOKUP(Mis_comidas217[[#This Row],[Comida]],'Comidas individuales'!$A:$P,16,0)*L33</f>
        <v>0</v>
      </c>
      <c r="S33" s="6">
        <f>VLOOKUP(Mis_comidas217[[#This Row],[Comida]],'Comidas individuales'!$A:$Q,17,0)*L33</f>
        <v>0.13500000000000001</v>
      </c>
    </row>
    <row r="34" spans="1:19" x14ac:dyDescent="0.3">
      <c r="B34" s="6"/>
      <c r="C34" s="6"/>
      <c r="D34" s="6"/>
      <c r="E34" s="6"/>
      <c r="F34" s="6"/>
      <c r="G34" s="6"/>
      <c r="H34" s="6"/>
      <c r="I34" s="6"/>
      <c r="L34" s="6"/>
      <c r="M34" s="6"/>
      <c r="N34" s="6"/>
      <c r="O34" s="6"/>
      <c r="P34" s="6"/>
      <c r="Q34" s="6"/>
      <c r="R34" s="6"/>
      <c r="S34" s="6"/>
    </row>
    <row r="35" spans="1:19" x14ac:dyDescent="0.3">
      <c r="B35" s="6"/>
      <c r="C35" s="6"/>
      <c r="D35" s="6">
        <f t="shared" ref="D35:I35" si="1">SUM(D30:D34)</f>
        <v>350.83333333333331</v>
      </c>
      <c r="E35" s="6">
        <f t="shared" si="1"/>
        <v>16.333333333333336</v>
      </c>
      <c r="F35" s="6">
        <f t="shared" si="1"/>
        <v>29.666666666666664</v>
      </c>
      <c r="G35" s="6">
        <f t="shared" si="1"/>
        <v>18.166666666666664</v>
      </c>
      <c r="H35" s="6">
        <f t="shared" si="1"/>
        <v>4</v>
      </c>
      <c r="I35" s="6">
        <f t="shared" si="1"/>
        <v>0.4604166666666667</v>
      </c>
      <c r="L35" s="6"/>
      <c r="M35" s="6"/>
      <c r="N35" s="6">
        <f t="shared" ref="N35:S35" si="2">SUM(N30:N34)</f>
        <v>350.83333333333331</v>
      </c>
      <c r="O35" s="6">
        <f t="shared" si="2"/>
        <v>16.333333333333336</v>
      </c>
      <c r="P35" s="6">
        <f t="shared" si="2"/>
        <v>29.666666666666664</v>
      </c>
      <c r="Q35" s="6">
        <f t="shared" si="2"/>
        <v>18.166666666666664</v>
      </c>
      <c r="R35" s="6">
        <f t="shared" si="2"/>
        <v>4</v>
      </c>
      <c r="S35" s="6">
        <f t="shared" si="2"/>
        <v>0.4604166666666667</v>
      </c>
    </row>
    <row r="36" spans="1:19" x14ac:dyDescent="0.3">
      <c r="B36" s="6"/>
      <c r="C36" s="6"/>
      <c r="D36" s="6"/>
      <c r="E36" s="6"/>
      <c r="F36" s="6"/>
      <c r="G36" s="6"/>
      <c r="H36" s="6"/>
      <c r="I36" s="6"/>
      <c r="L36" s="6"/>
      <c r="M36" s="6"/>
      <c r="N36" s="6"/>
      <c r="O36" s="6"/>
      <c r="P36" s="6"/>
      <c r="Q36" s="6"/>
      <c r="R36" s="6"/>
      <c r="S36" s="6"/>
    </row>
    <row r="37" spans="1:19" x14ac:dyDescent="0.3">
      <c r="B37" s="6"/>
      <c r="C37" s="6"/>
      <c r="D37" s="6"/>
      <c r="E37" s="6"/>
      <c r="F37" s="6"/>
      <c r="G37" s="6"/>
      <c r="H37" s="6"/>
      <c r="I37" s="6"/>
      <c r="L37" s="6"/>
      <c r="M37" s="6"/>
      <c r="N37" s="6"/>
      <c r="O37" s="6"/>
      <c r="P37" s="6"/>
      <c r="Q37" s="6"/>
      <c r="R37" s="6"/>
      <c r="S37" s="6"/>
    </row>
    <row r="38" spans="1:19" x14ac:dyDescent="0.3">
      <c r="A38" t="s">
        <v>10</v>
      </c>
      <c r="B38" t="s">
        <v>1</v>
      </c>
      <c r="C38" t="s">
        <v>176</v>
      </c>
      <c r="D38" t="s">
        <v>2</v>
      </c>
      <c r="E38" t="s">
        <v>4</v>
      </c>
      <c r="F38" t="s">
        <v>3</v>
      </c>
      <c r="G38" t="s">
        <v>175</v>
      </c>
      <c r="H38" t="s">
        <v>5</v>
      </c>
      <c r="I38" t="s">
        <v>6</v>
      </c>
      <c r="K38" t="s">
        <v>10</v>
      </c>
      <c r="L38" t="s">
        <v>1</v>
      </c>
    </row>
    <row r="39" spans="1:19" x14ac:dyDescent="0.3">
      <c r="A39" t="s">
        <v>118</v>
      </c>
      <c r="B39" s="6">
        <v>100</v>
      </c>
      <c r="C39" s="6">
        <f>VLOOKUP(Mis_comidas3[[#This Row],[Comida]],'Precio por alimento'!$A:$H,8,0)*B39</f>
        <v>1714.9999999999998</v>
      </c>
      <c r="D39" s="6">
        <f>VLOOKUP(Mis_comidas3[[#This Row],[Comida]],'Comidas individuales'!$A:$L,12,0)*B39</f>
        <v>172</v>
      </c>
      <c r="E39" s="6">
        <f>VLOOKUP(Mis_comidas3[[#This Row],[Comida]],'Comidas individuales'!$A:$M,13,0)*B39</f>
        <v>9.3000000000000007</v>
      </c>
      <c r="F39" s="6">
        <f>VLOOKUP(Mis_comidas3[[#This Row],[Comida]],'Comidas individuales'!$A:$N,14,0)*B39</f>
        <v>0</v>
      </c>
      <c r="G39" s="6">
        <f>VLOOKUP(Mis_comidas3[[#This Row],[Comida]],'Comidas individuales'!$A:$O,15,0)*B39</f>
        <v>20.9</v>
      </c>
      <c r="H39" s="6">
        <f>VLOOKUP(Mis_comidas3[[#This Row],[Comida]],'Comidas individuales'!$A:$P,16,0)*B39</f>
        <v>0</v>
      </c>
      <c r="I39" s="6">
        <f>VLOOKUP(Mis_comidas3[[#This Row],[Comida]],'Comidas individuales'!$A:$Q,17,0)*B39</f>
        <v>0.1</v>
      </c>
      <c r="K39" t="s">
        <v>118</v>
      </c>
      <c r="L39" s="6">
        <v>200</v>
      </c>
      <c r="M39" s="6">
        <f>VLOOKUP(Mis_comidas318[[#This Row],[Comida]],'Precio por alimento'!$A:$H,8,0)*L39</f>
        <v>3429.9999999999995</v>
      </c>
      <c r="N39" s="6">
        <f>VLOOKUP(Mis_comidas318[[#This Row],[Comida]],'Comidas individuales'!$A:$L,12,0)*L39</f>
        <v>344</v>
      </c>
      <c r="O39" s="6">
        <f>VLOOKUP(Mis_comidas318[[#This Row],[Comida]],'Comidas individuales'!$A:$M,13,0)*L39</f>
        <v>18.600000000000001</v>
      </c>
      <c r="P39" s="6">
        <f>VLOOKUP(Mis_comidas318[[#This Row],[Comida]],'Comidas individuales'!$A:$N,14,0)*L39</f>
        <v>0</v>
      </c>
      <c r="Q39" s="6">
        <f>VLOOKUP(Mis_comidas318[[#This Row],[Comida]],'Comidas individuales'!$A:$O,15,0)*L39</f>
        <v>41.8</v>
      </c>
      <c r="R39" s="6">
        <f>VLOOKUP(Mis_comidas318[[#This Row],[Comida]],'Comidas individuales'!$A:$P,16,0)*L39</f>
        <v>0</v>
      </c>
      <c r="S39" s="6">
        <f>VLOOKUP(Mis_comidas318[[#This Row],[Comida]],'Comidas individuales'!$A:$Q,17,0)*L39</f>
        <v>0.2</v>
      </c>
    </row>
    <row r="40" spans="1:19" x14ac:dyDescent="0.3">
      <c r="A40" t="s">
        <v>40</v>
      </c>
      <c r="B40" s="6">
        <v>70</v>
      </c>
      <c r="C40" s="6">
        <f>VLOOKUP(Mis_comidas3[[#This Row],[Comida]],'Precio por alimento'!$A:$H,8,0)*B40</f>
        <v>251.29999999999998</v>
      </c>
      <c r="D40" s="6">
        <f>VLOOKUP(Mis_comidas3[[#This Row],[Comida]],'Comidas individuales'!$A:$L,12,0)*B40</f>
        <v>252</v>
      </c>
      <c r="E40" s="6">
        <f>VLOOKUP(Mis_comidas3[[#This Row],[Comida]],'Comidas individuales'!$A:$M,13,0)*B40</f>
        <v>0</v>
      </c>
      <c r="F40" s="6">
        <f>VLOOKUP(Mis_comidas3[[#This Row],[Comida]],'Comidas individuales'!$A:$N,14,0)*B40</f>
        <v>51.8</v>
      </c>
      <c r="G40" s="6">
        <f>VLOOKUP(Mis_comidas3[[#This Row],[Comida]],'Comidas individuales'!$A:$O,15,0)*B40</f>
        <v>5.6000000000000005</v>
      </c>
      <c r="H40" s="6">
        <f>VLOOKUP(Mis_comidas3[[#This Row],[Comida]],'Comidas individuales'!$A:$P,16,0)*B40</f>
        <v>2.8000000000000003</v>
      </c>
      <c r="I40" s="6">
        <f>VLOOKUP(Mis_comidas3[[#This Row],[Comida]],'Comidas individuales'!$A:$Q,17,0)*B40</f>
        <v>0</v>
      </c>
      <c r="K40" t="s">
        <v>35</v>
      </c>
      <c r="L40" s="6">
        <v>120</v>
      </c>
      <c r="M40" s="6">
        <f>VLOOKUP(Mis_comidas318[[#This Row],[Comida]],'Precio por alimento'!$A:$H,8,0)*L40</f>
        <v>233.4</v>
      </c>
      <c r="N40" s="6">
        <f>VLOOKUP(Mis_comidas318[[#This Row],[Comida]],'Comidas individuales'!$A:$L,12,0)*L40</f>
        <v>104.4</v>
      </c>
      <c r="O40" s="6">
        <f>VLOOKUP(Mis_comidas318[[#This Row],[Comida]],'Comidas individuales'!$A:$M,13,0)*L40</f>
        <v>0.12</v>
      </c>
      <c r="P40" s="6">
        <f>VLOOKUP(Mis_comidas318[[#This Row],[Comida]],'Comidas individuales'!$A:$N,14,0)*L40</f>
        <v>21.78</v>
      </c>
      <c r="Q40" s="6">
        <f>VLOOKUP(Mis_comidas318[[#This Row],[Comida]],'Comidas individuales'!$A:$O,15,0)*L40</f>
        <v>2.2200000000000002</v>
      </c>
      <c r="R40" s="6">
        <f>VLOOKUP(Mis_comidas318[[#This Row],[Comida]],'Comidas individuales'!$A:$P,16,0)*L40</f>
        <v>2.4</v>
      </c>
      <c r="S40" s="6">
        <f>VLOOKUP(Mis_comidas318[[#This Row],[Comida]],'Comidas individuales'!$A:$Q,17,0)*L40</f>
        <v>0.3</v>
      </c>
    </row>
    <row r="41" spans="1:19" x14ac:dyDescent="0.3">
      <c r="A41" t="s">
        <v>45</v>
      </c>
      <c r="B41" s="6">
        <v>100</v>
      </c>
      <c r="C41" s="6">
        <f>VLOOKUP(Mis_comidas3[[#This Row],[Comida]],'Precio por alimento'!$A:$H,8,0)*B41</f>
        <v>965.83333333333337</v>
      </c>
      <c r="D41" s="6">
        <f>VLOOKUP(Mis_comidas3[[#This Row],[Comida]],'Comidas individuales'!$A:$L,12,0)*B41</f>
        <v>155</v>
      </c>
      <c r="E41" s="6">
        <f>VLOOKUP(Mis_comidas3[[#This Row],[Comida]],'Comidas individuales'!$A:$M,13,0)*B41</f>
        <v>10.666666666666668</v>
      </c>
      <c r="F41" s="6">
        <f>VLOOKUP(Mis_comidas3[[#This Row],[Comida]],'Comidas individuales'!$A:$N,14,0)*B41</f>
        <v>1.1666666666666665</v>
      </c>
      <c r="G41" s="6">
        <f>VLOOKUP(Mis_comidas3[[#This Row],[Comida]],'Comidas individuales'!$A:$O,15,0)*B41</f>
        <v>12.5</v>
      </c>
      <c r="H41" s="6">
        <f>VLOOKUP(Mis_comidas3[[#This Row],[Comida]],'Comidas individuales'!$A:$P,16,0)*B41</f>
        <v>0</v>
      </c>
      <c r="I41" s="6">
        <f>VLOOKUP(Mis_comidas3[[#This Row],[Comida]],'Comidas individuales'!$A:$Q,17,0)*B41</f>
        <v>0.16666666666666669</v>
      </c>
      <c r="K41" t="s">
        <v>55</v>
      </c>
      <c r="L41" s="6">
        <v>7</v>
      </c>
      <c r="M41" s="6">
        <f>VLOOKUP(Mis_comidas318[[#This Row],[Comida]],'Precio por alimento'!$A:$H,8,0)*L41</f>
        <v>73.315789473684205</v>
      </c>
      <c r="N41" s="6">
        <f>VLOOKUP(Mis_comidas318[[#This Row],[Comida]],'Comidas individuales'!$A:$L,12,0)*L41</f>
        <v>6.2222222222222214</v>
      </c>
      <c r="O41" s="6">
        <f>VLOOKUP(Mis_comidas318[[#This Row],[Comida]],'Comidas individuales'!$A:$M,13,0)*L41</f>
        <v>3.888888888888889E-2</v>
      </c>
      <c r="P41" s="6">
        <f>VLOOKUP(Mis_comidas318[[#This Row],[Comida]],'Comidas individuales'!$A:$N,14,0)*L41</f>
        <v>1.05</v>
      </c>
      <c r="Q41" s="6">
        <f>VLOOKUP(Mis_comidas318[[#This Row],[Comida]],'Comidas individuales'!$A:$O,15,0)*L41</f>
        <v>0.42777777777777781</v>
      </c>
      <c r="R41" s="6">
        <f>VLOOKUP(Mis_comidas318[[#This Row],[Comida]],'Comidas individuales'!$A:$P,16,0)*L41</f>
        <v>3.888888888888889E-2</v>
      </c>
      <c r="S41" s="6">
        <f>VLOOKUP(Mis_comidas318[[#This Row],[Comida]],'Comidas individuales'!$A:$Q,17,0)*L41</f>
        <v>0.27222222222222225</v>
      </c>
    </row>
    <row r="42" spans="1:19" x14ac:dyDescent="0.3">
      <c r="A42" t="s">
        <v>55</v>
      </c>
      <c r="B42" s="6">
        <v>7</v>
      </c>
      <c r="C42" s="6">
        <f>VLOOKUP(Mis_comidas3[[#This Row],[Comida]],'Precio por alimento'!$A:$H,8,0)*B42</f>
        <v>73.315789473684205</v>
      </c>
      <c r="D42" s="6">
        <f>VLOOKUP(Mis_comidas3[[#This Row],[Comida]],'Comidas individuales'!$A:$L,12,0)*B42</f>
        <v>6.2222222222222214</v>
      </c>
      <c r="E42" s="6">
        <f>VLOOKUP(Mis_comidas3[[#This Row],[Comida]],'Comidas individuales'!$A:$M,13,0)*B42</f>
        <v>3.888888888888889E-2</v>
      </c>
      <c r="F42" s="6">
        <f>VLOOKUP(Mis_comidas3[[#This Row],[Comida]],'Comidas individuales'!$A:$N,14,0)*B42</f>
        <v>1.05</v>
      </c>
      <c r="G42" s="6">
        <f>VLOOKUP(Mis_comidas3[[#This Row],[Comida]],'Comidas individuales'!$A:$O,15,0)*B42</f>
        <v>0.42777777777777781</v>
      </c>
      <c r="H42" s="6">
        <f>VLOOKUP(Mis_comidas3[[#This Row],[Comida]],'Comidas individuales'!$A:$P,16,0)*B42</f>
        <v>3.888888888888889E-2</v>
      </c>
      <c r="I42" s="6">
        <f>VLOOKUP(Mis_comidas3[[#This Row],[Comida]],'Comidas individuales'!$A:$Q,17,0)*B42</f>
        <v>0.27222222222222225</v>
      </c>
      <c r="K42" t="s">
        <v>45</v>
      </c>
      <c r="L42" s="6">
        <v>50</v>
      </c>
      <c r="M42" s="6">
        <f>VLOOKUP(Mis_comidas318[[#This Row],[Comida]],'Precio por alimento'!$A:$H,8,0)*L42</f>
        <v>482.91666666666669</v>
      </c>
      <c r="N42" s="6">
        <f>VLOOKUP(Mis_comidas318[[#This Row],[Comida]],'Comidas individuales'!$A:$L,12,0)*L42</f>
        <v>77.5</v>
      </c>
      <c r="O42" s="6">
        <f>VLOOKUP(Mis_comidas318[[#This Row],[Comida]],'Comidas individuales'!$A:$M,13,0)*L42</f>
        <v>5.3333333333333339</v>
      </c>
      <c r="P42" s="6">
        <f>VLOOKUP(Mis_comidas318[[#This Row],[Comida]],'Comidas individuales'!$A:$N,14,0)*L42</f>
        <v>0.58333333333333326</v>
      </c>
      <c r="Q42" s="6">
        <f>VLOOKUP(Mis_comidas318[[#This Row],[Comida]],'Comidas individuales'!$A:$O,15,0)*L42</f>
        <v>6.25</v>
      </c>
      <c r="R42" s="6">
        <f>VLOOKUP(Mis_comidas318[[#This Row],[Comida]],'Comidas individuales'!$A:$P,16,0)*L42</f>
        <v>0</v>
      </c>
      <c r="S42" s="6">
        <f>VLOOKUP(Mis_comidas318[[#This Row],[Comida]],'Comidas individuales'!$A:$Q,17,0)*L42</f>
        <v>8.3333333333333343E-2</v>
      </c>
    </row>
    <row r="43" spans="1:19" x14ac:dyDescent="0.3">
      <c r="A43" t="s">
        <v>35</v>
      </c>
      <c r="B43" s="6">
        <v>120</v>
      </c>
      <c r="C43" s="6">
        <f>VLOOKUP(Mis_comidas3[[#This Row],[Comida]],'Precio por alimento'!$A:$H,8,0)*B43</f>
        <v>233.4</v>
      </c>
      <c r="D43" s="6">
        <f>VLOOKUP(Mis_comidas3[[#This Row],[Comida]],'Comidas individuales'!$A:$L,12,0)*B43</f>
        <v>104.4</v>
      </c>
      <c r="E43" s="6">
        <f>VLOOKUP(Mis_comidas3[[#This Row],[Comida]],'Comidas individuales'!$A:$M,13,0)*B43</f>
        <v>0.12</v>
      </c>
      <c r="F43" s="6">
        <f>VLOOKUP(Mis_comidas3[[#This Row],[Comida]],'Comidas individuales'!$A:$N,14,0)*B43</f>
        <v>21.78</v>
      </c>
      <c r="G43" s="6">
        <f>VLOOKUP(Mis_comidas3[[#This Row],[Comida]],'Comidas individuales'!$A:$O,15,0)*B43</f>
        <v>2.2200000000000002</v>
      </c>
      <c r="H43" s="6">
        <f>VLOOKUP(Mis_comidas3[[#This Row],[Comida]],'Comidas individuales'!$A:$P,16,0)*B43</f>
        <v>2.4</v>
      </c>
      <c r="I43" s="6">
        <f>VLOOKUP(Mis_comidas3[[#This Row],[Comida]],'Comidas individuales'!$A:$Q,17,0)*B43</f>
        <v>0.3</v>
      </c>
      <c r="L43" s="6"/>
      <c r="M43" s="6"/>
      <c r="N43" s="6"/>
      <c r="O43" s="6"/>
      <c r="P43" s="6"/>
      <c r="Q43" s="6"/>
      <c r="R43" s="6"/>
      <c r="S43" s="6"/>
    </row>
    <row r="44" spans="1:19" x14ac:dyDescent="0.3">
      <c r="A44" t="s">
        <v>148</v>
      </c>
      <c r="B44" s="6">
        <v>50</v>
      </c>
      <c r="C44" s="6">
        <f>VLOOKUP(Mis_comidas3[[#This Row],[Comida]],'Precio por alimento'!$A:$H,8,0)*B44</f>
        <v>998</v>
      </c>
      <c r="D44" s="6">
        <f>VLOOKUP(Mis_comidas3[[#This Row],[Comida]],'Comidas individuales'!$A:$L,12,0)*B44</f>
        <v>80</v>
      </c>
      <c r="E44" s="6">
        <f>VLOOKUP(Mis_comidas3[[#This Row],[Comida]],'Comidas individuales'!$A:$M,13,0)*B44</f>
        <v>5</v>
      </c>
      <c r="F44" s="6">
        <f>VLOOKUP(Mis_comidas3[[#This Row],[Comida]],'Comidas individuales'!$A:$N,14,0)*B44</f>
        <v>2</v>
      </c>
      <c r="G44" s="6">
        <f>VLOOKUP(Mis_comidas3[[#This Row],[Comida]],'Comidas individuales'!$A:$O,15,0)*B44</f>
        <v>7.0000000000000009</v>
      </c>
      <c r="H44" s="6">
        <f>VLOOKUP(Mis_comidas3[[#This Row],[Comida]],'Comidas individuales'!$A:$P,16,0)*B44</f>
        <v>0</v>
      </c>
      <c r="I44" s="6">
        <f>VLOOKUP(Mis_comidas3[[#This Row],[Comida]],'Comidas individuales'!$A:$Q,17,0)*B44</f>
        <v>0.5</v>
      </c>
      <c r="L44" s="6"/>
      <c r="M44" s="6"/>
      <c r="N44" s="6"/>
      <c r="O44" s="6"/>
      <c r="P44" s="6"/>
      <c r="Q44" s="6"/>
      <c r="R44" s="6"/>
      <c r="S44" s="6"/>
    </row>
    <row r="45" spans="1:19" x14ac:dyDescent="0.3">
      <c r="B45" s="6"/>
      <c r="C45" s="6"/>
      <c r="D45" s="6"/>
      <c r="E45" s="6"/>
      <c r="F45" s="6"/>
      <c r="G45" s="6"/>
      <c r="H45" s="6"/>
      <c r="I45" s="6"/>
      <c r="L45" s="6"/>
      <c r="M45" s="6"/>
      <c r="N45" s="6"/>
      <c r="O45" s="6"/>
      <c r="P45" s="6"/>
      <c r="Q45" s="6"/>
      <c r="R45" s="6"/>
      <c r="S45" s="6"/>
    </row>
    <row r="46" spans="1:19" x14ac:dyDescent="0.3">
      <c r="B46" s="6"/>
      <c r="C46" s="6"/>
      <c r="D46" s="6"/>
      <c r="E46" s="6"/>
      <c r="F46" s="6"/>
      <c r="G46" s="6"/>
      <c r="H46" s="6"/>
      <c r="I46" s="6"/>
      <c r="L46" s="6"/>
      <c r="M46" s="6"/>
      <c r="N46" s="6"/>
      <c r="O46" s="6"/>
      <c r="P46" s="6"/>
      <c r="Q46" s="6"/>
      <c r="R46" s="6"/>
      <c r="S46" s="6"/>
    </row>
    <row r="47" spans="1:19" x14ac:dyDescent="0.3">
      <c r="B47" s="6"/>
      <c r="C47" s="6"/>
      <c r="D47" s="6"/>
      <c r="E47" s="6"/>
      <c r="F47" s="6"/>
      <c r="G47" s="6"/>
      <c r="H47" s="6"/>
      <c r="I47" s="6"/>
      <c r="L47" s="6"/>
      <c r="M47" s="6"/>
      <c r="N47" s="6"/>
      <c r="O47" s="6"/>
      <c r="P47" s="6"/>
      <c r="Q47" s="6"/>
      <c r="R47" s="6"/>
      <c r="S47" s="6"/>
    </row>
    <row r="48" spans="1:19" x14ac:dyDescent="0.3">
      <c r="B48" s="6"/>
      <c r="C48" s="6"/>
      <c r="D48" s="6">
        <f t="shared" ref="D48:I48" si="3">SUM(D39:D47)</f>
        <v>769.62222222222215</v>
      </c>
      <c r="E48" s="6">
        <f t="shared" si="3"/>
        <v>25.125555555555557</v>
      </c>
      <c r="F48" s="6">
        <f t="shared" si="3"/>
        <v>77.796666666666653</v>
      </c>
      <c r="G48" s="6">
        <f t="shared" si="3"/>
        <v>48.647777777777776</v>
      </c>
      <c r="H48" s="6">
        <f t="shared" si="3"/>
        <v>5.2388888888888889</v>
      </c>
      <c r="I48" s="6">
        <f t="shared" si="3"/>
        <v>1.338888888888889</v>
      </c>
      <c r="L48" s="6"/>
      <c r="M48" s="6"/>
      <c r="N48" s="6">
        <f t="shared" ref="N48:S48" si="4">SUM(N39:N47)</f>
        <v>532.12222222222226</v>
      </c>
      <c r="O48" s="6">
        <f t="shared" si="4"/>
        <v>24.092222222222226</v>
      </c>
      <c r="P48" s="6">
        <f t="shared" si="4"/>
        <v>23.413333333333334</v>
      </c>
      <c r="Q48" s="6">
        <f t="shared" si="4"/>
        <v>50.697777777777773</v>
      </c>
      <c r="R48" s="6">
        <f t="shared" si="4"/>
        <v>2.4388888888888887</v>
      </c>
      <c r="S48" s="6">
        <f t="shared" si="4"/>
        <v>0.85555555555555562</v>
      </c>
    </row>
    <row r="49" spans="1:19" x14ac:dyDescent="0.3">
      <c r="B49" s="6"/>
      <c r="C49" s="6"/>
      <c r="D49" s="6"/>
      <c r="E49" s="6"/>
      <c r="F49" s="6"/>
      <c r="G49" s="6"/>
      <c r="H49" s="6"/>
      <c r="I49" s="6"/>
      <c r="L49" s="6"/>
      <c r="M49" s="6"/>
      <c r="N49" s="6"/>
      <c r="O49" s="6"/>
      <c r="P49" s="6"/>
      <c r="Q49" s="6"/>
      <c r="R49" s="6"/>
      <c r="S49" s="6"/>
    </row>
    <row r="50" spans="1:19" x14ac:dyDescent="0.3">
      <c r="B50" s="6"/>
      <c r="C50" s="6"/>
      <c r="D50" s="6"/>
      <c r="E50" s="6"/>
      <c r="F50" s="6"/>
      <c r="G50" s="6"/>
      <c r="H50" s="6"/>
      <c r="I50" s="6"/>
      <c r="L50" s="6"/>
      <c r="M50" s="6"/>
      <c r="N50" s="6"/>
      <c r="O50" s="6"/>
      <c r="P50" s="6"/>
      <c r="Q50" s="6"/>
      <c r="R50" s="6"/>
      <c r="S50" s="6"/>
    </row>
    <row r="51" spans="1:19" x14ac:dyDescent="0.3">
      <c r="A51" t="s">
        <v>10</v>
      </c>
      <c r="B51" t="s">
        <v>1</v>
      </c>
      <c r="C51" t="s">
        <v>176</v>
      </c>
      <c r="D51" t="s">
        <v>2</v>
      </c>
      <c r="E51" t="s">
        <v>4</v>
      </c>
      <c r="F51" t="s">
        <v>3</v>
      </c>
      <c r="G51" t="s">
        <v>175</v>
      </c>
      <c r="H51" t="s">
        <v>5</v>
      </c>
      <c r="I51" t="s">
        <v>6</v>
      </c>
      <c r="K51" t="s">
        <v>10</v>
      </c>
      <c r="L51" t="s">
        <v>1</v>
      </c>
    </row>
    <row r="52" spans="1:19" x14ac:dyDescent="0.3">
      <c r="A52" t="s">
        <v>159</v>
      </c>
      <c r="B52" s="6">
        <v>80</v>
      </c>
      <c r="C52" s="6">
        <f>VLOOKUP(Mis_comidas4[[#This Row],[Comida]],'Precio por alimento'!$A:$H,8,0)*B52</f>
        <v>420</v>
      </c>
      <c r="D52" s="6">
        <f>VLOOKUP(Mis_comidas4[[#This Row],[Comida]],'Comidas individuales'!$A:$L,12,0)*B52</f>
        <v>180</v>
      </c>
      <c r="E52" s="6">
        <f>VLOOKUP(Mis_comidas4[[#This Row],[Comida]],'Comidas individuales'!$A:$M,13,0)*B52</f>
        <v>6</v>
      </c>
      <c r="F52" s="6">
        <f>VLOOKUP(Mis_comidas4[[#This Row],[Comida]],'Comidas individuales'!$A:$N,14,0)*B52</f>
        <v>24</v>
      </c>
      <c r="G52" s="6">
        <f>VLOOKUP(Mis_comidas4[[#This Row],[Comida]],'Comidas individuales'!$A:$O,15,0)*B52</f>
        <v>4</v>
      </c>
      <c r="H52" s="6">
        <f>VLOOKUP(Mis_comidas4[[#This Row],[Comida]],'Comidas individuales'!$A:$P,16,0)*B52</f>
        <v>4</v>
      </c>
      <c r="I52" s="6">
        <f>VLOOKUP(Mis_comidas4[[#This Row],[Comida]],'Comidas individuales'!$A:$Q,17,0)*B52</f>
        <v>0.19</v>
      </c>
      <c r="K52" t="s">
        <v>45</v>
      </c>
      <c r="L52" s="6">
        <v>50</v>
      </c>
      <c r="M52" s="6">
        <f>VLOOKUP(Mis_comidas420[[#This Row],[Comida]],'Precio por alimento'!$A:$H,8,0)*L52</f>
        <v>482.91666666666669</v>
      </c>
      <c r="N52" s="6">
        <f>VLOOKUP(Mis_comidas420[[#This Row],[Comida]],'Comidas individuales'!$A:$L,12,0)*L52</f>
        <v>77.5</v>
      </c>
      <c r="O52" s="6">
        <f>VLOOKUP(Mis_comidas420[[#This Row],[Comida]],'Comidas individuales'!$A:$M,13,0)*L52</f>
        <v>5.3333333333333339</v>
      </c>
      <c r="P52" s="6">
        <f>VLOOKUP(Mis_comidas420[[#This Row],[Comida]],'Comidas individuales'!$A:$N,14,0)*L52</f>
        <v>0.58333333333333326</v>
      </c>
      <c r="Q52" s="6">
        <f>VLOOKUP(Mis_comidas420[[#This Row],[Comida]],'Comidas individuales'!$A:$O,15,0)*L52</f>
        <v>6.25</v>
      </c>
      <c r="R52" s="6">
        <f>VLOOKUP(Mis_comidas420[[#This Row],[Comida]],'Comidas individuales'!$A:$P,16,0)*L52</f>
        <v>0</v>
      </c>
      <c r="S52" s="6">
        <f>VLOOKUP(Mis_comidas420[[#This Row],[Comida]],'Comidas individuales'!$A:$Q,17,0)*L52</f>
        <v>8.3333333333333343E-2</v>
      </c>
    </row>
    <row r="53" spans="1:19" x14ac:dyDescent="0.3">
      <c r="A53" t="s">
        <v>45</v>
      </c>
      <c r="B53" s="6">
        <v>50</v>
      </c>
      <c r="C53" s="6">
        <f>VLOOKUP(Mis_comidas4[[#This Row],[Comida]],'Precio por alimento'!$A:$H,8,0)*B53</f>
        <v>482.91666666666669</v>
      </c>
      <c r="D53" s="6">
        <f>VLOOKUP(Mis_comidas4[[#This Row],[Comida]],'Comidas individuales'!$A:$L,12,0)*B53</f>
        <v>77.5</v>
      </c>
      <c r="E53" s="6">
        <f>VLOOKUP(Mis_comidas4[[#This Row],[Comida]],'Comidas individuales'!$A:$M,13,0)*B53</f>
        <v>5.3333333333333339</v>
      </c>
      <c r="F53" s="6">
        <f>VLOOKUP(Mis_comidas4[[#This Row],[Comida]],'Comidas individuales'!$A:$N,14,0)*B53</f>
        <v>0.58333333333333326</v>
      </c>
      <c r="G53" s="6">
        <f>VLOOKUP(Mis_comidas4[[#This Row],[Comida]],'Comidas individuales'!$A:$O,15,0)*B53</f>
        <v>6.25</v>
      </c>
      <c r="H53" s="6">
        <f>VLOOKUP(Mis_comidas4[[#This Row],[Comida]],'Comidas individuales'!$A:$P,16,0)*B53</f>
        <v>0</v>
      </c>
      <c r="I53" s="6">
        <f>VLOOKUP(Mis_comidas4[[#This Row],[Comida]],'Comidas individuales'!$A:$Q,17,0)*B53</f>
        <v>8.3333333333333343E-2</v>
      </c>
      <c r="K53" t="s">
        <v>39</v>
      </c>
      <c r="L53" s="6">
        <v>100</v>
      </c>
      <c r="M53" s="6">
        <f>VLOOKUP(Mis_comidas420[[#This Row],[Comida]],'Precio por alimento'!$A:$H,8,0)*L53</f>
        <v>243.33333333333331</v>
      </c>
      <c r="N53" s="6">
        <f>VLOOKUP(Mis_comidas420[[#This Row],[Comida]],'Comidas individuales'!$A:$L,12,0)*L53</f>
        <v>33.333333333333329</v>
      </c>
      <c r="O53" s="6">
        <f>VLOOKUP(Mis_comidas420[[#This Row],[Comida]],'Comidas individuales'!$A:$M,13,0)*L53</f>
        <v>0</v>
      </c>
      <c r="P53" s="6">
        <f>VLOOKUP(Mis_comidas420[[#This Row],[Comida]],'Comidas individuales'!$A:$N,14,0)*L53</f>
        <v>4.583333333333333</v>
      </c>
      <c r="Q53" s="6">
        <f>VLOOKUP(Mis_comidas420[[#This Row],[Comida]],'Comidas individuales'!$A:$O,15,0)*L53</f>
        <v>2.9166666666666665</v>
      </c>
      <c r="R53" s="6">
        <f>VLOOKUP(Mis_comidas420[[#This Row],[Comida]],'Comidas individuales'!$A:$P,16,0)*L53</f>
        <v>0</v>
      </c>
      <c r="S53" s="6">
        <f>VLOOKUP(Mis_comidas420[[#This Row],[Comida]],'Comidas individuales'!$A:$Q,17,0)*L53</f>
        <v>5.2083333333333336E-2</v>
      </c>
    </row>
    <row r="54" spans="1:19" x14ac:dyDescent="0.3">
      <c r="A54" t="s">
        <v>39</v>
      </c>
      <c r="B54" s="6">
        <v>100</v>
      </c>
      <c r="C54" s="6">
        <f>VLOOKUP(Mis_comidas4[[#This Row],[Comida]],'Precio por alimento'!$A:$H,8,0)*B54</f>
        <v>243.33333333333331</v>
      </c>
      <c r="D54" s="6">
        <f>VLOOKUP(Mis_comidas4[[#This Row],[Comida]],'Comidas individuales'!$A:$L,12,0)*B54</f>
        <v>33.333333333333329</v>
      </c>
      <c r="E54" s="6">
        <f>VLOOKUP(Mis_comidas4[[#This Row],[Comida]],'Comidas individuales'!$A:$M,13,0)*B54</f>
        <v>0</v>
      </c>
      <c r="F54" s="6">
        <f>VLOOKUP(Mis_comidas4[[#This Row],[Comida]],'Comidas individuales'!$A:$N,14,0)*B54</f>
        <v>4.583333333333333</v>
      </c>
      <c r="G54" s="6">
        <f>VLOOKUP(Mis_comidas4[[#This Row],[Comida]],'Comidas individuales'!$A:$O,15,0)*B54</f>
        <v>2.9166666666666665</v>
      </c>
      <c r="H54" s="6">
        <f>VLOOKUP(Mis_comidas4[[#This Row],[Comida]],'Comidas individuales'!$A:$P,16,0)*B54</f>
        <v>0</v>
      </c>
      <c r="I54" s="6">
        <f>VLOOKUP(Mis_comidas4[[#This Row],[Comida]],'Comidas individuales'!$A:$Q,17,0)*B54</f>
        <v>5.2083333333333336E-2</v>
      </c>
      <c r="L54" s="6"/>
      <c r="M54" s="6"/>
      <c r="N54" s="6"/>
      <c r="O54" s="6"/>
      <c r="P54" s="6"/>
      <c r="Q54" s="6"/>
      <c r="R54" s="6"/>
      <c r="S54" s="6"/>
    </row>
    <row r="55" spans="1:19" x14ac:dyDescent="0.3">
      <c r="B55" s="6"/>
      <c r="C55" s="6"/>
      <c r="D55" s="6"/>
      <c r="E55" s="6"/>
      <c r="F55" s="6"/>
      <c r="G55" s="6"/>
      <c r="H55" s="6"/>
      <c r="I55" s="6"/>
      <c r="L55" s="6"/>
      <c r="M55" s="6"/>
      <c r="N55" s="6"/>
      <c r="O55" s="6"/>
      <c r="P55" s="6"/>
      <c r="Q55" s="6"/>
      <c r="R55" s="6"/>
      <c r="S55" s="6"/>
    </row>
    <row r="56" spans="1:19" x14ac:dyDescent="0.3">
      <c r="B56" s="6"/>
      <c r="C56" s="6"/>
      <c r="D56" s="6">
        <f t="shared" ref="D56:I56" si="5">SUM(D52:D55)</f>
        <v>290.83333333333331</v>
      </c>
      <c r="E56" s="6">
        <f t="shared" si="5"/>
        <v>11.333333333333334</v>
      </c>
      <c r="F56" s="6">
        <f t="shared" si="5"/>
        <v>29.166666666666664</v>
      </c>
      <c r="G56" s="6">
        <f t="shared" si="5"/>
        <v>13.166666666666666</v>
      </c>
      <c r="H56" s="6">
        <f t="shared" si="5"/>
        <v>4</v>
      </c>
      <c r="I56" s="6">
        <f t="shared" si="5"/>
        <v>0.32541666666666663</v>
      </c>
      <c r="L56" s="6"/>
      <c r="M56" s="6"/>
      <c r="N56" s="6">
        <f t="shared" ref="N56:S56" si="6">SUM(N52:N55)</f>
        <v>110.83333333333333</v>
      </c>
      <c r="O56" s="6">
        <f t="shared" si="6"/>
        <v>5.3333333333333339</v>
      </c>
      <c r="P56" s="6">
        <f t="shared" si="6"/>
        <v>5.1666666666666661</v>
      </c>
      <c r="Q56" s="6">
        <f t="shared" si="6"/>
        <v>9.1666666666666661</v>
      </c>
      <c r="R56" s="6">
        <f t="shared" si="6"/>
        <v>0</v>
      </c>
      <c r="S56" s="6">
        <f t="shared" si="6"/>
        <v>0.13541666666666669</v>
      </c>
    </row>
    <row r="58" spans="1:19" x14ac:dyDescent="0.3">
      <c r="A58" t="s">
        <v>10</v>
      </c>
      <c r="B58" t="s">
        <v>1</v>
      </c>
      <c r="C58" t="s">
        <v>176</v>
      </c>
      <c r="D58" t="s">
        <v>2</v>
      </c>
      <c r="E58" t="s">
        <v>4</v>
      </c>
      <c r="F58" t="s">
        <v>3</v>
      </c>
      <c r="G58" t="s">
        <v>175</v>
      </c>
      <c r="H58" t="s">
        <v>5</v>
      </c>
      <c r="I58" t="s">
        <v>6</v>
      </c>
      <c r="K58" t="s">
        <v>10</v>
      </c>
      <c r="L58" t="s">
        <v>1</v>
      </c>
    </row>
    <row r="59" spans="1:19" x14ac:dyDescent="0.3">
      <c r="B59" s="6"/>
      <c r="C59" s="6"/>
      <c r="D59" s="6"/>
      <c r="E59" s="6"/>
      <c r="F59" s="6"/>
      <c r="G59" s="6"/>
      <c r="H59" s="6"/>
      <c r="I59" s="6"/>
      <c r="K59" t="s">
        <v>49</v>
      </c>
      <c r="L59" s="6">
        <v>45</v>
      </c>
      <c r="M59" s="6">
        <f>VLOOKUP(Mis_comidas519[[#This Row],[Comida]],'Precio por alimento'!$A:$H,8,0)*L59</f>
        <v>209.00000000000003</v>
      </c>
      <c r="N59" s="6">
        <f>VLOOKUP(Mis_comidas519[[#This Row],[Comida]],'Comidas individuales'!$A:$L,12,0)*L59</f>
        <v>122.72727272727272</v>
      </c>
      <c r="O59" s="6">
        <f>VLOOKUP(Mis_comidas519[[#This Row],[Comida]],'Comidas individuales'!$A:$M,13,0)*L59</f>
        <v>1.0227272727272727</v>
      </c>
      <c r="P59" s="6">
        <f>VLOOKUP(Mis_comidas519[[#This Row],[Comida]],'Comidas individuales'!$A:$N,14,0)*L59</f>
        <v>22.5</v>
      </c>
      <c r="Q59" s="6">
        <f>VLOOKUP(Mis_comidas519[[#This Row],[Comida]],'Comidas individuales'!$A:$O,15,0)*L59</f>
        <v>5.1136363636363633</v>
      </c>
      <c r="R59" s="6">
        <f>VLOOKUP(Mis_comidas519[[#This Row],[Comida]],'Comidas individuales'!$A:$P,16,0)*L59</f>
        <v>1.0227272727272727</v>
      </c>
      <c r="S59" s="6">
        <f>VLOOKUP(Mis_comidas519[[#This Row],[Comida]],'Comidas individuales'!$A:$Q,17,0)*L59</f>
        <v>0.22500000000000001</v>
      </c>
    </row>
    <row r="60" spans="1:19" x14ac:dyDescent="0.3">
      <c r="A60" t="s">
        <v>169</v>
      </c>
      <c r="B60" s="6">
        <v>25</v>
      </c>
      <c r="C60" s="6">
        <f>VLOOKUP(Mis_comidas5[[#This Row],[Comida]],'Precio por alimento'!$A:$H,8,0)*B60</f>
        <v>424.37500000000006</v>
      </c>
      <c r="D60" s="6">
        <f>VLOOKUP(Mis_comidas5[[#This Row],[Comida]],'Comidas individuales'!$A:$L,12,0)*B60</f>
        <v>60</v>
      </c>
      <c r="E60" s="6">
        <f>VLOOKUP(Mis_comidas5[[#This Row],[Comida]],'Comidas individuales'!$A:$M,13,0)*B60</f>
        <v>5</v>
      </c>
      <c r="F60" s="6">
        <f>VLOOKUP(Mis_comidas5[[#This Row],[Comida]],'Comidas individuales'!$A:$N,14,0)*B60</f>
        <v>0.5</v>
      </c>
      <c r="G60" s="6">
        <f>VLOOKUP(Mis_comidas5[[#This Row],[Comida]],'Comidas individuales'!$A:$O,15,0)*B60</f>
        <v>5</v>
      </c>
      <c r="H60" s="6">
        <f>VLOOKUP(Mis_comidas5[[#This Row],[Comida]],'Comidas individuales'!$A:$P,16,0)*B60</f>
        <v>0</v>
      </c>
      <c r="I60" s="6">
        <f>VLOOKUP(Mis_comidas5[[#This Row],[Comida]],'Comidas individuales'!$A:$Q,17,0)*B60</f>
        <v>0.13500000000000001</v>
      </c>
      <c r="K60" t="s">
        <v>169</v>
      </c>
      <c r="L60" s="6">
        <v>25</v>
      </c>
      <c r="M60" s="6">
        <f>VLOOKUP(Mis_comidas519[[#This Row],[Comida]],'Precio por alimento'!$A:$H,8,0)*L60</f>
        <v>424.37500000000006</v>
      </c>
      <c r="N60" s="6">
        <f>VLOOKUP(Mis_comidas519[[#This Row],[Comida]],'Comidas individuales'!$A:$L,12,0)*L60</f>
        <v>60</v>
      </c>
      <c r="O60" s="6">
        <f>VLOOKUP(Mis_comidas519[[#This Row],[Comida]],'Comidas individuales'!$A:$M,13,0)*L60</f>
        <v>5</v>
      </c>
      <c r="P60" s="6">
        <f>VLOOKUP(Mis_comidas519[[#This Row],[Comida]],'Comidas individuales'!$A:$N,14,0)*L60</f>
        <v>0.5</v>
      </c>
      <c r="Q60" s="6">
        <f>VLOOKUP(Mis_comidas519[[#This Row],[Comida]],'Comidas individuales'!$A:$O,15,0)*L60</f>
        <v>5</v>
      </c>
      <c r="R60" s="6">
        <f>VLOOKUP(Mis_comidas519[[#This Row],[Comida]],'Comidas individuales'!$A:$P,16,0)*L60</f>
        <v>0</v>
      </c>
      <c r="S60" s="6">
        <f>VLOOKUP(Mis_comidas519[[#This Row],[Comida]],'Comidas individuales'!$A:$Q,17,0)*L60</f>
        <v>0.13500000000000001</v>
      </c>
    </row>
    <row r="61" spans="1:19" x14ac:dyDescent="0.3">
      <c r="A61" t="s">
        <v>118</v>
      </c>
      <c r="B61" s="6">
        <v>100</v>
      </c>
      <c r="C61" s="6">
        <f>VLOOKUP(Mis_comidas5[[#This Row],[Comida]],'Precio por alimento'!$A:$H,8,0)*B61</f>
        <v>1714.9999999999998</v>
      </c>
      <c r="D61" s="6">
        <f>VLOOKUP(Mis_comidas5[[#This Row],[Comida]],'Comidas individuales'!$A:$L,12,0)*B61</f>
        <v>172</v>
      </c>
      <c r="E61" s="6">
        <f>VLOOKUP(Mis_comidas5[[#This Row],[Comida]],'Comidas individuales'!$A:$M,13,0)*B61</f>
        <v>9.3000000000000007</v>
      </c>
      <c r="F61" s="6">
        <f>VLOOKUP(Mis_comidas5[[#This Row],[Comida]],'Comidas individuales'!$A:$N,14,0)*B61</f>
        <v>0</v>
      </c>
      <c r="G61" s="6">
        <f>VLOOKUP(Mis_comidas5[[#This Row],[Comida]],'Comidas individuales'!$A:$O,15,0)*B61</f>
        <v>20.9</v>
      </c>
      <c r="H61" s="6">
        <f>VLOOKUP(Mis_comidas5[[#This Row],[Comida]],'Comidas individuales'!$A:$P,16,0)*B61</f>
        <v>0</v>
      </c>
      <c r="I61" s="6">
        <f>VLOOKUP(Mis_comidas5[[#This Row],[Comida]],'Comidas individuales'!$A:$Q,17,0)*B61</f>
        <v>0.1</v>
      </c>
      <c r="K61" t="s">
        <v>39</v>
      </c>
      <c r="L61" s="6">
        <v>100</v>
      </c>
      <c r="M61" s="6">
        <f>VLOOKUP(Mis_comidas519[[#This Row],[Comida]],'Precio por alimento'!$A:$H,8,0)*L61</f>
        <v>243.33333333333331</v>
      </c>
      <c r="N61" s="6">
        <f>VLOOKUP(Mis_comidas519[[#This Row],[Comida]],'Comidas individuales'!$A:$L,12,0)*L61</f>
        <v>33.333333333333329</v>
      </c>
      <c r="O61" s="6">
        <f>VLOOKUP(Mis_comidas519[[#This Row],[Comida]],'Comidas individuales'!$A:$M,13,0)*L61</f>
        <v>0</v>
      </c>
      <c r="P61" s="6">
        <f>VLOOKUP(Mis_comidas519[[#This Row],[Comida]],'Comidas individuales'!$A:$N,14,0)*L61</f>
        <v>4.583333333333333</v>
      </c>
      <c r="Q61" s="6">
        <f>VLOOKUP(Mis_comidas519[[#This Row],[Comida]],'Comidas individuales'!$A:$O,15,0)*L61</f>
        <v>2.9166666666666665</v>
      </c>
      <c r="R61" s="6">
        <f>VLOOKUP(Mis_comidas519[[#This Row],[Comida]],'Comidas individuales'!$A:$P,16,0)*L61</f>
        <v>0</v>
      </c>
      <c r="S61" s="6">
        <f>VLOOKUP(Mis_comidas519[[#This Row],[Comida]],'Comidas individuales'!$A:$Q,17,0)*L61</f>
        <v>5.2083333333333336E-2</v>
      </c>
    </row>
    <row r="62" spans="1:19" x14ac:dyDescent="0.3">
      <c r="A62" t="s">
        <v>49</v>
      </c>
      <c r="B62" s="6">
        <v>45</v>
      </c>
      <c r="C62" s="6">
        <f>VLOOKUP(Mis_comidas5[[#This Row],[Comida]],'Precio por alimento'!$A:$H,8,0)*B62</f>
        <v>209.00000000000003</v>
      </c>
      <c r="D62" s="6">
        <f>VLOOKUP(Mis_comidas5[[#This Row],[Comida]],'Comidas individuales'!$A:$L,12,0)*B62</f>
        <v>122.72727272727272</v>
      </c>
      <c r="E62" s="6">
        <f>VLOOKUP(Mis_comidas5[[#This Row],[Comida]],'Comidas individuales'!$A:$M,13,0)*B62</f>
        <v>1.0227272727272727</v>
      </c>
      <c r="F62" s="6">
        <f>VLOOKUP(Mis_comidas5[[#This Row],[Comida]],'Comidas individuales'!$A:$N,14,0)*B62</f>
        <v>22.5</v>
      </c>
      <c r="G62" s="6">
        <f>VLOOKUP(Mis_comidas5[[#This Row],[Comida]],'Comidas individuales'!$A:$O,15,0)*B62</f>
        <v>5.1136363636363633</v>
      </c>
      <c r="H62" s="6">
        <f>VLOOKUP(Mis_comidas5[[#This Row],[Comida]],'Comidas individuales'!$A:$P,16,0)*B62</f>
        <v>1.0227272727272727</v>
      </c>
      <c r="I62" s="6">
        <f>VLOOKUP(Mis_comidas5[[#This Row],[Comida]],'Comidas individuales'!$A:$Q,17,0)*B62</f>
        <v>0.22500000000000001</v>
      </c>
      <c r="K62" t="s">
        <v>158</v>
      </c>
      <c r="L62" s="6">
        <v>18</v>
      </c>
      <c r="M62" s="6">
        <f>VLOOKUP(Mis_comidas519[[#This Row],[Comida]],'Precio por alimento'!$A:$H,8,0)*L62</f>
        <v>359.28000000000003</v>
      </c>
      <c r="N62" s="6">
        <f>VLOOKUP(Mis_comidas519[[#This Row],[Comida]],'Comidas individuales'!$A:$L,12,0)*L62</f>
        <v>20</v>
      </c>
      <c r="O62" s="6">
        <f>VLOOKUP(Mis_comidas519[[#This Row],[Comida]],'Comidas individuales'!$A:$M,13,0)*L62</f>
        <v>0.5</v>
      </c>
      <c r="P62" s="6">
        <f>VLOOKUP(Mis_comidas519[[#This Row],[Comida]],'Comidas individuales'!$A:$N,14,0)*L62</f>
        <v>1.5</v>
      </c>
      <c r="Q62" s="6">
        <f>VLOOKUP(Mis_comidas519[[#This Row],[Comida]],'Comidas individuales'!$A:$O,15,0)*L62</f>
        <v>2.5</v>
      </c>
      <c r="R62" s="6">
        <f>VLOOKUP(Mis_comidas519[[#This Row],[Comida]],'Comidas individuales'!$A:$P,16,0)*L62</f>
        <v>0</v>
      </c>
      <c r="S62" s="6">
        <f>VLOOKUP(Mis_comidas519[[#This Row],[Comida]],'Comidas individuales'!$A:$Q,17,0)*L62</f>
        <v>0.34</v>
      </c>
    </row>
    <row r="63" spans="1:19" x14ac:dyDescent="0.3">
      <c r="A63" t="s">
        <v>39</v>
      </c>
      <c r="B63" s="6">
        <v>100</v>
      </c>
      <c r="C63" s="6">
        <f>VLOOKUP(Mis_comidas5[[#This Row],[Comida]],'Precio por alimento'!$A:$H,8,0)*B63</f>
        <v>243.33333333333331</v>
      </c>
      <c r="D63" s="6">
        <f>VLOOKUP(Mis_comidas5[[#This Row],[Comida]],'Comidas individuales'!$A:$L,12,0)*B63</f>
        <v>33.333333333333329</v>
      </c>
      <c r="E63" s="6">
        <f>VLOOKUP(Mis_comidas5[[#This Row],[Comida]],'Comidas individuales'!$A:$M,13,0)*B63</f>
        <v>0</v>
      </c>
      <c r="F63" s="6">
        <f>VLOOKUP(Mis_comidas5[[#This Row],[Comida]],'Comidas individuales'!$A:$N,14,0)*B63</f>
        <v>4.583333333333333</v>
      </c>
      <c r="G63" s="6">
        <f>VLOOKUP(Mis_comidas5[[#This Row],[Comida]],'Comidas individuales'!$A:$O,15,0)*B63</f>
        <v>2.9166666666666665</v>
      </c>
      <c r="H63" s="6">
        <f>VLOOKUP(Mis_comidas5[[#This Row],[Comida]],'Comidas individuales'!$A:$P,16,0)*B63</f>
        <v>0</v>
      </c>
      <c r="I63" s="6">
        <f>VLOOKUP(Mis_comidas5[[#This Row],[Comida]],'Comidas individuales'!$A:$Q,17,0)*B63</f>
        <v>5.2083333333333336E-2</v>
      </c>
      <c r="K63" t="s">
        <v>63</v>
      </c>
      <c r="L63" s="6">
        <v>7</v>
      </c>
      <c r="M63" s="6">
        <f>VLOOKUP(Mis_comidas519[[#This Row],[Comida]],'Precio por alimento'!$A:$H,8,0)*L63</f>
        <v>46.511111111111113</v>
      </c>
      <c r="N63" s="6">
        <f>VLOOKUP(Mis_comidas519[[#This Row],[Comida]],'Comidas individuales'!$A:$L,12,0)*L63</f>
        <v>23.8</v>
      </c>
      <c r="O63" s="6">
        <f>VLOOKUP(Mis_comidas519[[#This Row],[Comida]],'Comidas individuales'!$A:$M,13,0)*L63</f>
        <v>7.0000000000000007E-2</v>
      </c>
      <c r="P63" s="6">
        <f>VLOOKUP(Mis_comidas519[[#This Row],[Comida]],'Comidas individuales'!$A:$N,14,0)*L63</f>
        <v>5.81</v>
      </c>
      <c r="Q63" s="6">
        <f>VLOOKUP(Mis_comidas519[[#This Row],[Comida]],'Comidas individuales'!$A:$O,15,0)*L63</f>
        <v>0</v>
      </c>
      <c r="R63" s="6">
        <f>VLOOKUP(Mis_comidas519[[#This Row],[Comida]],'Comidas individuales'!$A:$P,16,0)*L63</f>
        <v>0</v>
      </c>
      <c r="S63" s="6">
        <f>VLOOKUP(Mis_comidas519[[#This Row],[Comida]],'Comidas individuales'!$A:$Q,17,0)*L63</f>
        <v>0</v>
      </c>
    </row>
    <row r="64" spans="1:19" x14ac:dyDescent="0.3">
      <c r="A64" t="s">
        <v>63</v>
      </c>
      <c r="B64" s="6">
        <v>7</v>
      </c>
      <c r="C64" s="6">
        <f>VLOOKUP(Mis_comidas5[[#This Row],[Comida]],'Precio por alimento'!$A:$H,8,0)*B64</f>
        <v>46.511111111111113</v>
      </c>
      <c r="D64" s="6">
        <f>VLOOKUP(Mis_comidas5[[#This Row],[Comida]],'Comidas individuales'!$A:$L,12,0)*B64</f>
        <v>23.8</v>
      </c>
      <c r="E64" s="6">
        <f>VLOOKUP(Mis_comidas5[[#This Row],[Comida]],'Comidas individuales'!$A:$M,13,0)*B64</f>
        <v>7.0000000000000007E-2</v>
      </c>
      <c r="F64" s="6">
        <f>VLOOKUP(Mis_comidas5[[#This Row],[Comida]],'Comidas individuales'!$A:$N,14,0)*B64</f>
        <v>5.81</v>
      </c>
      <c r="G64" s="6">
        <f>VLOOKUP(Mis_comidas5[[#This Row],[Comida]],'Comidas individuales'!$A:$O,15,0)*B64</f>
        <v>0</v>
      </c>
      <c r="H64" s="6">
        <f>VLOOKUP(Mis_comidas5[[#This Row],[Comida]],'Comidas individuales'!$A:$P,16,0)*B64</f>
        <v>0</v>
      </c>
      <c r="I64" s="6">
        <f>VLOOKUP(Mis_comidas5[[#This Row],[Comida]],'Comidas individuales'!$A:$Q,17,0)*B64</f>
        <v>0</v>
      </c>
      <c r="N64" s="6">
        <f t="shared" ref="N64:S64" si="7">SUM(N59:N63)</f>
        <v>259.86060606060607</v>
      </c>
      <c r="O64" s="6">
        <f t="shared" si="7"/>
        <v>6.5927272727272728</v>
      </c>
      <c r="P64" s="6">
        <f t="shared" si="7"/>
        <v>34.893333333333331</v>
      </c>
      <c r="Q64" s="6">
        <f t="shared" si="7"/>
        <v>15.530303030303029</v>
      </c>
      <c r="R64" s="6">
        <f t="shared" si="7"/>
        <v>1.0227272727272727</v>
      </c>
      <c r="S64" s="6">
        <f t="shared" si="7"/>
        <v>0.75208333333333333</v>
      </c>
    </row>
    <row r="65" spans="1:9" x14ac:dyDescent="0.3">
      <c r="A65" t="s">
        <v>158</v>
      </c>
      <c r="B65" s="6">
        <v>18</v>
      </c>
      <c r="C65" s="6">
        <f>VLOOKUP(Mis_comidas5[[#This Row],[Comida]],'Precio por alimento'!$A:$H,8,0)*B65</f>
        <v>359.28000000000003</v>
      </c>
      <c r="D65" s="6">
        <f>VLOOKUP(Mis_comidas5[[#This Row],[Comida]],'Comidas individuales'!$A:$L,12,0)*B65</f>
        <v>20</v>
      </c>
      <c r="E65" s="6">
        <f>VLOOKUP(Mis_comidas5[[#This Row],[Comida]],'Comidas individuales'!$A:$M,13,0)*B65</f>
        <v>0.5</v>
      </c>
      <c r="F65" s="6">
        <f>VLOOKUP(Mis_comidas5[[#This Row],[Comida]],'Comidas individuales'!$A:$N,14,0)*B65</f>
        <v>1.5</v>
      </c>
      <c r="G65" s="6">
        <f>VLOOKUP(Mis_comidas5[[#This Row],[Comida]],'Comidas individuales'!$A:$O,15,0)*B65</f>
        <v>2.5</v>
      </c>
      <c r="H65" s="6">
        <f>VLOOKUP(Mis_comidas5[[#This Row],[Comida]],'Comidas individuales'!$A:$P,16,0)*B65</f>
        <v>0</v>
      </c>
      <c r="I65" s="6">
        <f>VLOOKUP(Mis_comidas5[[#This Row],[Comida]],'Comidas individuales'!$A:$Q,17,0)*B65</f>
        <v>0.34</v>
      </c>
    </row>
    <row r="66" spans="1:9" x14ac:dyDescent="0.3">
      <c r="C66" s="6"/>
      <c r="D66" s="6">
        <f t="shared" ref="D66:I66" si="8">SUM(D59:D65)</f>
        <v>431.86060606060607</v>
      </c>
      <c r="E66" s="6">
        <f t="shared" si="8"/>
        <v>15.892727272727274</v>
      </c>
      <c r="F66" s="6">
        <f t="shared" si="8"/>
        <v>34.893333333333331</v>
      </c>
      <c r="G66" s="6">
        <f t="shared" si="8"/>
        <v>36.43030303030303</v>
      </c>
      <c r="H66" s="6">
        <f t="shared" si="8"/>
        <v>1.0227272727272727</v>
      </c>
      <c r="I66" s="6">
        <f t="shared" si="8"/>
        <v>0.8520833333333333</v>
      </c>
    </row>
  </sheetData>
  <autoFilter ref="B1:I26" xr:uid="{FE22D8F9-7508-43EC-A414-9A5778AA3DFB}"/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3B94E-0604-4211-B83F-0C8B837D9BE1}">
  <sheetPr codeName="Hoja8"/>
  <dimension ref="A1:I220"/>
  <sheetViews>
    <sheetView workbookViewId="0">
      <selection activeCell="C10" sqref="C10"/>
    </sheetView>
  </sheetViews>
  <sheetFormatPr defaultColWidth="11.5546875" defaultRowHeight="14.4" x14ac:dyDescent="0.3"/>
  <cols>
    <col min="1" max="1" width="20.5546875" bestFit="1" customWidth="1"/>
  </cols>
  <sheetData>
    <row r="1" spans="1:9" x14ac:dyDescent="0.3">
      <c r="A1" t="s">
        <v>196</v>
      </c>
    </row>
    <row r="2" spans="1:9" x14ac:dyDescent="0.3">
      <c r="A2" t="s">
        <v>10</v>
      </c>
      <c r="B2" t="s">
        <v>1</v>
      </c>
      <c r="C2" t="s">
        <v>176</v>
      </c>
      <c r="D2" t="s">
        <v>2</v>
      </c>
      <c r="E2" t="s">
        <v>4</v>
      </c>
      <c r="F2" t="s">
        <v>3</v>
      </c>
      <c r="G2" t="s">
        <v>175</v>
      </c>
      <c r="H2" t="s">
        <v>5</v>
      </c>
      <c r="I2" t="s">
        <v>6</v>
      </c>
    </row>
    <row r="3" spans="1:9" x14ac:dyDescent="0.3">
      <c r="A3" t="s">
        <v>45</v>
      </c>
      <c r="B3" s="6">
        <v>200</v>
      </c>
      <c r="C3" s="6">
        <v>1931.6666666666667</v>
      </c>
      <c r="D3" s="6">
        <v>310</v>
      </c>
      <c r="E3" s="6">
        <v>21.333333333333336</v>
      </c>
      <c r="F3" s="6">
        <v>2.333333333333333</v>
      </c>
      <c r="G3" s="6">
        <v>25</v>
      </c>
      <c r="H3" s="6">
        <v>0</v>
      </c>
      <c r="I3" s="6">
        <v>0.33333333333333337</v>
      </c>
    </row>
    <row r="4" spans="1:9" x14ac:dyDescent="0.3">
      <c r="A4" t="s">
        <v>39</v>
      </c>
      <c r="B4" s="6">
        <v>200</v>
      </c>
      <c r="C4" s="6">
        <v>486.66666666666663</v>
      </c>
      <c r="D4" s="6">
        <v>116.66666666666667</v>
      </c>
      <c r="E4" s="6">
        <v>5.833333333333333</v>
      </c>
      <c r="F4" s="6">
        <v>9.1666666666666661</v>
      </c>
      <c r="G4" s="6">
        <v>6.666666666666667</v>
      </c>
      <c r="H4" s="6">
        <v>0</v>
      </c>
      <c r="I4" s="6">
        <v>0.13333333333333333</v>
      </c>
    </row>
    <row r="5" spans="1:9" x14ac:dyDescent="0.3">
      <c r="A5" t="s">
        <v>118</v>
      </c>
      <c r="B5" s="6">
        <v>200</v>
      </c>
      <c r="C5" s="6">
        <v>3429.9999999999995</v>
      </c>
      <c r="D5" s="6">
        <v>344</v>
      </c>
      <c r="E5" s="6">
        <v>18.600000000000001</v>
      </c>
      <c r="F5" s="6">
        <v>0</v>
      </c>
      <c r="G5" s="6">
        <v>41.8</v>
      </c>
      <c r="H5" s="6">
        <v>0</v>
      </c>
      <c r="I5" s="6">
        <v>0.2</v>
      </c>
    </row>
    <row r="6" spans="1:9" x14ac:dyDescent="0.3">
      <c r="A6" t="s">
        <v>138</v>
      </c>
      <c r="B6" s="6">
        <v>249.05494505494497</v>
      </c>
      <c r="C6" s="6">
        <v>1389.7265934065929</v>
      </c>
      <c r="D6" s="6">
        <v>902.82417582417554</v>
      </c>
      <c r="E6" s="6">
        <v>3.1131868131868123</v>
      </c>
      <c r="F6" s="6">
        <v>189.90439560439552</v>
      </c>
      <c r="G6" s="6">
        <v>28.01868131868131</v>
      </c>
      <c r="H6" s="6">
        <v>0</v>
      </c>
      <c r="I6" s="6">
        <v>0</v>
      </c>
    </row>
    <row r="7" spans="1:9" x14ac:dyDescent="0.3">
      <c r="A7" t="s">
        <v>49</v>
      </c>
      <c r="B7" s="6">
        <v>45</v>
      </c>
      <c r="C7" s="6">
        <v>209.00000000000003</v>
      </c>
      <c r="D7" s="6">
        <v>110.00000000000001</v>
      </c>
      <c r="E7" s="6">
        <v>1.5</v>
      </c>
      <c r="F7" s="6">
        <v>19</v>
      </c>
      <c r="G7" s="6">
        <v>4</v>
      </c>
      <c r="H7" s="6">
        <v>1</v>
      </c>
      <c r="I7" s="6">
        <v>0.22</v>
      </c>
    </row>
    <row r="8" spans="1:9" x14ac:dyDescent="0.3">
      <c r="A8" t="s">
        <v>169</v>
      </c>
      <c r="B8" s="6">
        <v>42.989926739926716</v>
      </c>
      <c r="C8" s="6">
        <v>729.75400641025601</v>
      </c>
      <c r="D8" s="6">
        <v>103.17582417582412</v>
      </c>
      <c r="E8" s="6">
        <v>8.5979853479853432</v>
      </c>
      <c r="F8" s="6">
        <v>0.8597985347985343</v>
      </c>
      <c r="G8" s="6">
        <v>8.5979853479853432</v>
      </c>
      <c r="H8" s="6">
        <v>0</v>
      </c>
      <c r="I8" s="6">
        <v>0.23214560439560428</v>
      </c>
    </row>
    <row r="9" spans="1:9" x14ac:dyDescent="0.3">
      <c r="A9" t="s">
        <v>55</v>
      </c>
      <c r="B9" s="6">
        <v>15</v>
      </c>
      <c r="C9" s="6">
        <v>157.10526315789474</v>
      </c>
      <c r="D9" s="6">
        <v>13.333333333333332</v>
      </c>
      <c r="E9" s="6">
        <v>8.3333333333333343E-2</v>
      </c>
      <c r="F9" s="6">
        <v>2.25</v>
      </c>
      <c r="G9" s="6">
        <v>0.91666666666666674</v>
      </c>
      <c r="H9" s="6">
        <v>8.3333333333333343E-2</v>
      </c>
      <c r="I9" s="6">
        <v>0.58333333333333337</v>
      </c>
    </row>
    <row r="10" spans="1:9" x14ac:dyDescent="0.3">
      <c r="C10" s="6">
        <v>8333.9191963080757</v>
      </c>
      <c r="D10" s="6">
        <v>1899.9999999999995</v>
      </c>
      <c r="E10" s="6">
        <v>59.061172161172159</v>
      </c>
      <c r="F10" s="6">
        <v>223.51419413919405</v>
      </c>
      <c r="G10" s="6">
        <v>114.99999999999999</v>
      </c>
      <c r="H10" s="6">
        <v>1.0833333333333333</v>
      </c>
      <c r="I10" s="6">
        <v>1.7021456043956045</v>
      </c>
    </row>
    <row r="12" spans="1:9" x14ac:dyDescent="0.3">
      <c r="A12" t="s">
        <v>180</v>
      </c>
    </row>
    <row r="13" spans="1:9" x14ac:dyDescent="0.3">
      <c r="A13" t="s">
        <v>10</v>
      </c>
      <c r="B13" t="s">
        <v>1</v>
      </c>
      <c r="C13" t="s">
        <v>176</v>
      </c>
      <c r="D13" t="s">
        <v>2</v>
      </c>
      <c r="E13" t="s">
        <v>4</v>
      </c>
      <c r="F13" t="s">
        <v>3</v>
      </c>
      <c r="G13" t="s">
        <v>175</v>
      </c>
      <c r="H13" t="s">
        <v>5</v>
      </c>
      <c r="I13" t="s">
        <v>6</v>
      </c>
    </row>
    <row r="14" spans="1:9" x14ac:dyDescent="0.3">
      <c r="A14" t="s">
        <v>45</v>
      </c>
      <c r="B14" s="6">
        <v>200</v>
      </c>
      <c r="C14" s="6">
        <v>1931.6666666666667</v>
      </c>
      <c r="D14" s="6">
        <v>310</v>
      </c>
      <c r="E14" s="6">
        <v>21.333333333333336</v>
      </c>
      <c r="F14" s="6">
        <v>2.333333333333333</v>
      </c>
      <c r="G14" s="6">
        <v>25</v>
      </c>
      <c r="H14" s="6">
        <v>0</v>
      </c>
      <c r="I14" s="6">
        <v>0.33333333333333337</v>
      </c>
    </row>
    <row r="15" spans="1:9" x14ac:dyDescent="0.3">
      <c r="A15" t="s">
        <v>39</v>
      </c>
      <c r="B15" s="6">
        <v>200</v>
      </c>
      <c r="C15" s="6">
        <v>486.66666666666663</v>
      </c>
      <c r="D15" s="6">
        <v>116.66666666666667</v>
      </c>
      <c r="E15" s="6">
        <v>5.833333333333333</v>
      </c>
      <c r="F15" s="6">
        <v>9.1666666666666661</v>
      </c>
      <c r="G15" s="6">
        <v>6.666666666666667</v>
      </c>
      <c r="H15" s="6">
        <v>0</v>
      </c>
      <c r="I15" s="6">
        <v>0.13333333333333333</v>
      </c>
    </row>
    <row r="16" spans="1:9" x14ac:dyDescent="0.3">
      <c r="A16" t="s">
        <v>118</v>
      </c>
      <c r="B16" s="6">
        <v>200</v>
      </c>
      <c r="C16" s="6">
        <v>3429.9999999999995</v>
      </c>
      <c r="D16" s="6">
        <v>344</v>
      </c>
      <c r="E16" s="6">
        <v>18.600000000000001</v>
      </c>
      <c r="F16" s="6">
        <v>0</v>
      </c>
      <c r="G16" s="6">
        <v>41.8</v>
      </c>
      <c r="H16" s="6">
        <v>0</v>
      </c>
      <c r="I16" s="6">
        <v>0.2</v>
      </c>
    </row>
    <row r="17" spans="1:9" x14ac:dyDescent="0.3">
      <c r="A17" t="s">
        <v>49</v>
      </c>
      <c r="B17" s="6">
        <v>45</v>
      </c>
      <c r="C17" s="6">
        <v>209.00000000000003</v>
      </c>
      <c r="D17" s="6">
        <v>110.00000000000001</v>
      </c>
      <c r="E17" s="6">
        <v>1.5</v>
      </c>
      <c r="F17" s="6">
        <v>19</v>
      </c>
      <c r="G17" s="6">
        <v>4</v>
      </c>
      <c r="H17" s="6">
        <v>1</v>
      </c>
      <c r="I17" s="6">
        <v>0.22</v>
      </c>
    </row>
    <row r="18" spans="1:9" x14ac:dyDescent="0.3">
      <c r="A18" t="s">
        <v>40</v>
      </c>
      <c r="B18" s="6">
        <v>214.62121212121204</v>
      </c>
      <c r="C18" s="6">
        <v>770.49015151515118</v>
      </c>
      <c r="D18" s="6">
        <v>772.6363636363634</v>
      </c>
      <c r="E18" s="6">
        <v>0</v>
      </c>
      <c r="F18" s="6">
        <v>158.81969696969691</v>
      </c>
      <c r="G18" s="6">
        <v>17.169696969696965</v>
      </c>
      <c r="H18" s="6">
        <v>8.5848484848484823</v>
      </c>
      <c r="I18" s="6">
        <v>0</v>
      </c>
    </row>
    <row r="19" spans="1:9" x14ac:dyDescent="0.3">
      <c r="A19" t="s">
        <v>169</v>
      </c>
      <c r="B19" s="6">
        <v>97.234848484848513</v>
      </c>
      <c r="C19" s="6">
        <v>1650.5615530303037</v>
      </c>
      <c r="D19" s="6">
        <v>233.36363636363643</v>
      </c>
      <c r="E19" s="6">
        <v>19.446969696969703</v>
      </c>
      <c r="F19" s="6">
        <v>1.9446969696969703</v>
      </c>
      <c r="G19" s="6">
        <v>19.446969696969703</v>
      </c>
      <c r="H19" s="6">
        <v>0</v>
      </c>
      <c r="I19" s="6">
        <v>0.52506818181818204</v>
      </c>
    </row>
    <row r="20" spans="1:9" x14ac:dyDescent="0.3">
      <c r="A20" t="s">
        <v>55</v>
      </c>
      <c r="B20" s="6">
        <v>15</v>
      </c>
      <c r="C20" s="6">
        <v>157.10526315789474</v>
      </c>
      <c r="D20" s="6">
        <v>13.333333333333332</v>
      </c>
      <c r="E20" s="6">
        <v>8.3333333333333343E-2</v>
      </c>
      <c r="F20" s="6">
        <v>2.25</v>
      </c>
      <c r="G20" s="6">
        <v>0.91666666666666674</v>
      </c>
      <c r="H20" s="6">
        <v>8.3333333333333343E-2</v>
      </c>
      <c r="I20" s="6">
        <v>0.58333333333333337</v>
      </c>
    </row>
    <row r="21" spans="1:9" x14ac:dyDescent="0.3">
      <c r="C21" s="6">
        <v>8635.4903010366834</v>
      </c>
      <c r="D21" s="6">
        <v>1899.9999999999998</v>
      </c>
      <c r="E21" s="6">
        <v>66.796969696969697</v>
      </c>
      <c r="F21" s="6">
        <v>193.51439393939387</v>
      </c>
      <c r="G21" s="6">
        <v>115</v>
      </c>
      <c r="H21" s="6">
        <v>9.6681818181818162</v>
      </c>
      <c r="I21" s="6">
        <v>1.9950681818181821</v>
      </c>
    </row>
    <row r="23" spans="1:9" x14ac:dyDescent="0.3">
      <c r="A23" t="s">
        <v>181</v>
      </c>
    </row>
    <row r="24" spans="1:9" x14ac:dyDescent="0.3">
      <c r="A24" t="s">
        <v>10</v>
      </c>
      <c r="B24" t="s">
        <v>1</v>
      </c>
      <c r="C24" t="s">
        <v>176</v>
      </c>
      <c r="D24" t="s">
        <v>2</v>
      </c>
      <c r="E24" t="s">
        <v>4</v>
      </c>
      <c r="F24" t="s">
        <v>3</v>
      </c>
      <c r="G24" t="s">
        <v>175</v>
      </c>
      <c r="H24" t="s">
        <v>5</v>
      </c>
      <c r="I24" t="s">
        <v>6</v>
      </c>
    </row>
    <row r="25" spans="1:9" x14ac:dyDescent="0.3">
      <c r="A25" t="s">
        <v>45</v>
      </c>
      <c r="B25" s="6">
        <v>200</v>
      </c>
      <c r="C25" s="6">
        <v>1931.6666666666667</v>
      </c>
      <c r="D25" s="6">
        <v>310</v>
      </c>
      <c r="E25" s="6">
        <v>21.333333333333336</v>
      </c>
      <c r="F25" s="6">
        <v>2.333333333333333</v>
      </c>
      <c r="G25" s="6">
        <v>25</v>
      </c>
      <c r="H25" s="6">
        <v>0</v>
      </c>
      <c r="I25" s="6">
        <v>0.33333333333333337</v>
      </c>
    </row>
    <row r="26" spans="1:9" x14ac:dyDescent="0.3">
      <c r="A26" t="s">
        <v>39</v>
      </c>
      <c r="B26" s="6">
        <v>200</v>
      </c>
      <c r="C26" s="6">
        <v>486.66666666666663</v>
      </c>
      <c r="D26" s="6">
        <v>116.66666666666667</v>
      </c>
      <c r="E26" s="6">
        <v>5.833333333333333</v>
      </c>
      <c r="F26" s="6">
        <v>9.1666666666666661</v>
      </c>
      <c r="G26" s="6">
        <v>6.666666666666667</v>
      </c>
      <c r="H26" s="6">
        <v>0</v>
      </c>
      <c r="I26" s="6">
        <v>0.13333333333333333</v>
      </c>
    </row>
    <row r="27" spans="1:9" x14ac:dyDescent="0.3">
      <c r="A27" t="s">
        <v>118</v>
      </c>
      <c r="B27" s="6">
        <v>200</v>
      </c>
      <c r="C27" s="6">
        <v>3429.9999999999995</v>
      </c>
      <c r="D27" s="6">
        <v>344</v>
      </c>
      <c r="E27" s="6">
        <v>18.600000000000001</v>
      </c>
      <c r="F27" s="6">
        <v>0</v>
      </c>
      <c r="G27" s="6">
        <v>41.8</v>
      </c>
      <c r="H27" s="6">
        <v>0</v>
      </c>
      <c r="I27" s="6">
        <v>0.2</v>
      </c>
    </row>
    <row r="28" spans="1:9" x14ac:dyDescent="0.3">
      <c r="A28" t="s">
        <v>49</v>
      </c>
      <c r="B28" s="6">
        <v>45</v>
      </c>
      <c r="C28" s="6">
        <v>209.00000000000003</v>
      </c>
      <c r="D28" s="6">
        <v>110.00000000000001</v>
      </c>
      <c r="E28" s="6">
        <v>1.5</v>
      </c>
      <c r="F28" s="6">
        <v>19</v>
      </c>
      <c r="G28" s="6">
        <v>4</v>
      </c>
      <c r="H28" s="6">
        <v>1</v>
      </c>
      <c r="I28" s="6">
        <v>0.22</v>
      </c>
    </row>
    <row r="29" spans="1:9" x14ac:dyDescent="0.3">
      <c r="A29" t="s">
        <v>169</v>
      </c>
      <c r="B29" s="6">
        <v>130</v>
      </c>
      <c r="C29" s="6">
        <v>2206.75</v>
      </c>
      <c r="D29" s="6">
        <v>312</v>
      </c>
      <c r="E29" s="6">
        <v>26</v>
      </c>
      <c r="F29" s="6">
        <v>2.6</v>
      </c>
      <c r="G29" s="6">
        <v>26</v>
      </c>
      <c r="H29" s="6">
        <v>0</v>
      </c>
      <c r="I29" s="6">
        <v>0.70200000000000007</v>
      </c>
    </row>
    <row r="30" spans="1:9" x14ac:dyDescent="0.3">
      <c r="A30" t="s">
        <v>65</v>
      </c>
      <c r="B30" s="6">
        <v>355.24999999999977</v>
      </c>
      <c r="C30" s="6">
        <v>1047.9874999999995</v>
      </c>
      <c r="D30" s="6">
        <v>451.20833333333309</v>
      </c>
      <c r="E30" s="6">
        <v>12.86249999999999</v>
      </c>
      <c r="F30" s="6">
        <v>76.766666666666623</v>
      </c>
      <c r="G30" s="6">
        <v>10.61666666666666</v>
      </c>
      <c r="H30" s="6">
        <v>0</v>
      </c>
      <c r="I30" s="6">
        <v>0.20416666666666652</v>
      </c>
    </row>
    <row r="31" spans="1:9" x14ac:dyDescent="0.3">
      <c r="A31" t="s">
        <v>55</v>
      </c>
      <c r="B31" s="6">
        <v>15</v>
      </c>
      <c r="C31" s="6">
        <v>157.10526315789474</v>
      </c>
      <c r="D31" s="6">
        <v>13.333333333333332</v>
      </c>
      <c r="E31" s="6">
        <v>8.3333333333333343E-2</v>
      </c>
      <c r="F31" s="6">
        <v>2.25</v>
      </c>
      <c r="G31" s="6">
        <v>0.91666666666666674</v>
      </c>
      <c r="H31" s="6">
        <v>8.3333333333333343E-2</v>
      </c>
      <c r="I31" s="6">
        <v>0.58333333333333337</v>
      </c>
    </row>
    <row r="32" spans="1:9" x14ac:dyDescent="0.3">
      <c r="C32" s="6">
        <v>9469.1760964912264</v>
      </c>
      <c r="D32" s="6">
        <v>1657.208333333333</v>
      </c>
      <c r="E32" s="6">
        <v>86.212499999999991</v>
      </c>
      <c r="F32" s="6">
        <v>112.11666666666662</v>
      </c>
      <c r="G32" s="6">
        <v>115</v>
      </c>
      <c r="H32" s="6">
        <v>1.0833333333333333</v>
      </c>
      <c r="I32" s="6">
        <v>2.3761666666666668</v>
      </c>
    </row>
    <row r="35" spans="1:9" x14ac:dyDescent="0.3">
      <c r="A35" t="s">
        <v>182</v>
      </c>
    </row>
    <row r="36" spans="1:9" x14ac:dyDescent="0.3">
      <c r="A36" t="s">
        <v>10</v>
      </c>
      <c r="B36" t="s">
        <v>1</v>
      </c>
      <c r="C36" t="s">
        <v>176</v>
      </c>
      <c r="D36" t="s">
        <v>2</v>
      </c>
      <c r="E36" t="s">
        <v>4</v>
      </c>
      <c r="F36" t="s">
        <v>3</v>
      </c>
      <c r="G36" t="s">
        <v>175</v>
      </c>
      <c r="H36" t="s">
        <v>5</v>
      </c>
      <c r="I36" t="s">
        <v>6</v>
      </c>
    </row>
    <row r="37" spans="1:9" x14ac:dyDescent="0.3">
      <c r="A37" t="s">
        <v>45</v>
      </c>
      <c r="B37" s="6">
        <v>200</v>
      </c>
      <c r="C37" s="6">
        <v>1931.6666666666667</v>
      </c>
      <c r="D37" s="6">
        <v>310</v>
      </c>
      <c r="E37" s="6">
        <v>21.333333333333336</v>
      </c>
      <c r="F37" s="6">
        <v>2.333333333333333</v>
      </c>
      <c r="G37" s="6">
        <v>25</v>
      </c>
      <c r="H37" s="6">
        <v>0</v>
      </c>
      <c r="I37" s="6">
        <v>0.33333333333333337</v>
      </c>
    </row>
    <row r="38" spans="1:9" x14ac:dyDescent="0.3">
      <c r="A38" t="s">
        <v>39</v>
      </c>
      <c r="B38" s="6">
        <v>200</v>
      </c>
      <c r="C38" s="6">
        <v>486.66666666666663</v>
      </c>
      <c r="D38" s="6">
        <v>116.66666666666667</v>
      </c>
      <c r="E38" s="6">
        <v>5.833333333333333</v>
      </c>
      <c r="F38" s="6">
        <v>9.1666666666666661</v>
      </c>
      <c r="G38" s="6">
        <v>6.666666666666667</v>
      </c>
      <c r="H38" s="6">
        <v>0</v>
      </c>
      <c r="I38" s="6">
        <v>0.13333333333333333</v>
      </c>
    </row>
    <row r="39" spans="1:9" x14ac:dyDescent="0.3">
      <c r="A39" t="s">
        <v>118</v>
      </c>
      <c r="B39" s="6">
        <v>200</v>
      </c>
      <c r="C39" s="6">
        <v>3429.9999999999995</v>
      </c>
      <c r="D39" s="6">
        <v>344</v>
      </c>
      <c r="E39" s="6">
        <v>18.600000000000001</v>
      </c>
      <c r="F39" s="6">
        <v>0</v>
      </c>
      <c r="G39" s="6">
        <v>41.8</v>
      </c>
      <c r="H39" s="6">
        <v>0</v>
      </c>
      <c r="I39" s="6">
        <v>0.2</v>
      </c>
    </row>
    <row r="40" spans="1:9" x14ac:dyDescent="0.3">
      <c r="A40" t="s">
        <v>49</v>
      </c>
      <c r="B40" s="6">
        <v>45</v>
      </c>
      <c r="C40" s="6">
        <v>209.00000000000003</v>
      </c>
      <c r="D40" s="6">
        <v>110.00000000000001</v>
      </c>
      <c r="E40" s="6">
        <v>1.5</v>
      </c>
      <c r="F40" s="6">
        <v>19</v>
      </c>
      <c r="G40" s="6">
        <v>4</v>
      </c>
      <c r="H40" s="6">
        <v>1</v>
      </c>
      <c r="I40" s="6">
        <v>0.22</v>
      </c>
    </row>
    <row r="41" spans="1:9" x14ac:dyDescent="0.3">
      <c r="A41" t="s">
        <v>169</v>
      </c>
      <c r="B41" s="6">
        <v>130</v>
      </c>
      <c r="C41" s="6">
        <v>2206.75</v>
      </c>
      <c r="D41" s="6">
        <v>312</v>
      </c>
      <c r="E41" s="6">
        <v>26</v>
      </c>
      <c r="F41" s="6">
        <v>2.6</v>
      </c>
      <c r="G41" s="6">
        <v>26</v>
      </c>
      <c r="H41" s="6">
        <v>0</v>
      </c>
      <c r="I41" s="6">
        <v>0.70200000000000007</v>
      </c>
    </row>
    <row r="42" spans="1:9" x14ac:dyDescent="0.3">
      <c r="A42" t="s">
        <v>65</v>
      </c>
      <c r="B42" s="6">
        <v>150</v>
      </c>
      <c r="C42" s="6">
        <v>442.5</v>
      </c>
      <c r="D42" s="6">
        <v>190.51724137931035</v>
      </c>
      <c r="E42" s="6">
        <v>5.4310344827586201</v>
      </c>
      <c r="F42" s="6">
        <v>32.413793103448278</v>
      </c>
      <c r="G42" s="6">
        <v>4.4827586206896548</v>
      </c>
      <c r="H42" s="6">
        <v>0</v>
      </c>
      <c r="I42" s="6">
        <v>8.6206896551724144E-2</v>
      </c>
    </row>
    <row r="43" spans="1:9" x14ac:dyDescent="0.3">
      <c r="A43" t="s">
        <v>56</v>
      </c>
      <c r="B43" s="6">
        <v>24.535632183908003</v>
      </c>
      <c r="C43" s="6">
        <v>619.16389452332544</v>
      </c>
      <c r="D43" s="6">
        <v>28.62490421455934</v>
      </c>
      <c r="E43" s="6">
        <v>0.40892720306513336</v>
      </c>
      <c r="F43" s="6">
        <v>0</v>
      </c>
      <c r="G43" s="6">
        <v>6.1339080459770008</v>
      </c>
      <c r="H43" s="6">
        <v>0</v>
      </c>
      <c r="I43" s="6">
        <v>0.12267816091954002</v>
      </c>
    </row>
    <row r="44" spans="1:9" x14ac:dyDescent="0.3">
      <c r="A44" t="s">
        <v>55</v>
      </c>
      <c r="B44" s="6">
        <v>15</v>
      </c>
      <c r="C44" s="6">
        <v>157.10526315789474</v>
      </c>
      <c r="D44" s="6">
        <v>13.333333333333332</v>
      </c>
      <c r="E44" s="6">
        <v>8.3333333333333343E-2</v>
      </c>
      <c r="F44" s="6">
        <v>2.25</v>
      </c>
      <c r="G44" s="6">
        <v>0.91666666666666674</v>
      </c>
      <c r="H44" s="6">
        <v>8.3333333333333343E-2</v>
      </c>
      <c r="I44" s="6">
        <v>0.58333333333333337</v>
      </c>
    </row>
    <row r="45" spans="1:9" x14ac:dyDescent="0.3">
      <c r="C45" s="6">
        <v>9482.8524910145534</v>
      </c>
      <c r="D45" s="6">
        <v>1425.1421455938698</v>
      </c>
      <c r="E45" s="6">
        <v>79.189961685823747</v>
      </c>
      <c r="F45" s="6">
        <v>67.763793103448279</v>
      </c>
      <c r="G45" s="6">
        <v>114.99999999999999</v>
      </c>
      <c r="H45" s="6">
        <v>1.0833333333333333</v>
      </c>
      <c r="I45" s="6">
        <v>2.3808850574712643</v>
      </c>
    </row>
    <row r="47" spans="1:9" x14ac:dyDescent="0.3">
      <c r="A47" t="s">
        <v>183</v>
      </c>
    </row>
    <row r="48" spans="1:9" x14ac:dyDescent="0.3">
      <c r="A48" t="s">
        <v>45</v>
      </c>
      <c r="B48" s="6">
        <v>200</v>
      </c>
      <c r="C48" s="6">
        <v>1931.6666666666667</v>
      </c>
      <c r="D48" s="6">
        <v>310</v>
      </c>
      <c r="E48" s="6">
        <v>21.333333333333336</v>
      </c>
      <c r="F48" s="6">
        <v>2.333333333333333</v>
      </c>
      <c r="G48" s="6">
        <v>25</v>
      </c>
      <c r="H48" s="6">
        <v>0</v>
      </c>
      <c r="I48" s="6">
        <v>0.33333333333333337</v>
      </c>
    </row>
    <row r="49" spans="1:9" x14ac:dyDescent="0.3">
      <c r="A49" t="s">
        <v>39</v>
      </c>
      <c r="B49" s="6">
        <v>200</v>
      </c>
      <c r="C49" s="6">
        <v>486.66666666666663</v>
      </c>
      <c r="D49" s="6">
        <v>116.66666666666667</v>
      </c>
      <c r="E49" s="6">
        <v>5.833333333333333</v>
      </c>
      <c r="F49" s="6">
        <v>9.1666666666666661</v>
      </c>
      <c r="G49" s="6">
        <v>6.666666666666667</v>
      </c>
      <c r="H49" s="6">
        <v>0</v>
      </c>
      <c r="I49" s="6">
        <v>0.13333333333333333</v>
      </c>
    </row>
    <row r="50" spans="1:9" x14ac:dyDescent="0.3">
      <c r="A50" t="s">
        <v>118</v>
      </c>
      <c r="B50" s="6">
        <v>200</v>
      </c>
      <c r="C50" s="6">
        <v>3429.9999999999995</v>
      </c>
      <c r="D50" s="6">
        <v>344</v>
      </c>
      <c r="E50" s="6">
        <v>18.600000000000001</v>
      </c>
      <c r="F50" s="6">
        <v>0</v>
      </c>
      <c r="G50" s="6">
        <v>41.8</v>
      </c>
      <c r="H50" s="6">
        <v>0</v>
      </c>
      <c r="I50" s="6">
        <v>0.2</v>
      </c>
    </row>
    <row r="51" spans="1:9" x14ac:dyDescent="0.3">
      <c r="A51" t="s">
        <v>49</v>
      </c>
      <c r="B51" s="6">
        <v>45</v>
      </c>
      <c r="C51" s="6">
        <v>209.00000000000003</v>
      </c>
      <c r="D51" s="6">
        <v>110.00000000000001</v>
      </c>
      <c r="E51" s="6">
        <v>1.5</v>
      </c>
      <c r="F51" s="6">
        <v>19</v>
      </c>
      <c r="G51" s="6">
        <v>4</v>
      </c>
      <c r="H51" s="6">
        <v>1</v>
      </c>
      <c r="I51" s="6">
        <v>0.22</v>
      </c>
    </row>
    <row r="52" spans="1:9" x14ac:dyDescent="0.3">
      <c r="A52" t="s">
        <v>169</v>
      </c>
      <c r="B52" s="6">
        <v>130</v>
      </c>
      <c r="C52" s="6">
        <v>2206.75</v>
      </c>
      <c r="D52" s="6">
        <v>312</v>
      </c>
      <c r="E52" s="6">
        <v>26</v>
      </c>
      <c r="F52" s="6">
        <v>2.6</v>
      </c>
      <c r="G52" s="6">
        <v>26</v>
      </c>
      <c r="H52" s="6">
        <v>0</v>
      </c>
      <c r="I52" s="6">
        <v>0.70200000000000007</v>
      </c>
    </row>
    <row r="53" spans="1:9" x14ac:dyDescent="0.3">
      <c r="A53" t="s">
        <v>159</v>
      </c>
      <c r="B53" s="6">
        <v>80</v>
      </c>
      <c r="C53" s="6">
        <v>420</v>
      </c>
      <c r="D53" s="6">
        <v>180</v>
      </c>
      <c r="E53" s="6">
        <v>6</v>
      </c>
      <c r="F53" s="6">
        <v>24</v>
      </c>
      <c r="G53" s="6">
        <v>4</v>
      </c>
      <c r="H53" s="6">
        <v>4</v>
      </c>
      <c r="I53" s="6">
        <v>0.19</v>
      </c>
    </row>
    <row r="54" spans="1:9" x14ac:dyDescent="0.3">
      <c r="A54" t="s">
        <v>56</v>
      </c>
      <c r="B54" s="6">
        <v>18.617609527860434</v>
      </c>
      <c r="C54" s="6">
        <v>469.82085220306624</v>
      </c>
      <c r="D54" s="6">
        <v>21.720544449170507</v>
      </c>
      <c r="E54" s="6">
        <v>0.31029349213100721</v>
      </c>
      <c r="F54" s="6">
        <v>0</v>
      </c>
      <c r="G54" s="6">
        <v>4.6544023819651086</v>
      </c>
      <c r="H54" s="6">
        <v>0</v>
      </c>
      <c r="I54" s="6">
        <v>9.3088047639302174E-2</v>
      </c>
    </row>
    <row r="55" spans="1:9" x14ac:dyDescent="0.3">
      <c r="A55" t="s">
        <v>35</v>
      </c>
      <c r="B55" s="6">
        <v>106.06833971359661</v>
      </c>
      <c r="C55" s="6">
        <v>206.30292074294542</v>
      </c>
      <c r="D55" s="6">
        <v>92.279455550829056</v>
      </c>
      <c r="E55" s="6">
        <v>0.10606833971359661</v>
      </c>
      <c r="F55" s="6">
        <v>19.251403658017786</v>
      </c>
      <c r="G55" s="6">
        <v>1.9622642847015377</v>
      </c>
      <c r="H55" s="6">
        <v>2.1213667942719323</v>
      </c>
      <c r="I55" s="6">
        <v>0.26517084928399154</v>
      </c>
    </row>
    <row r="56" spans="1:9" x14ac:dyDescent="0.3">
      <c r="A56" t="s">
        <v>55</v>
      </c>
      <c r="B56" s="6">
        <v>15</v>
      </c>
      <c r="C56" s="6">
        <v>157.10526315789474</v>
      </c>
      <c r="D56" s="6">
        <v>13.333333333333332</v>
      </c>
      <c r="E56" s="6">
        <v>8.3333333333333343E-2</v>
      </c>
      <c r="F56" s="6">
        <v>2.25</v>
      </c>
      <c r="G56" s="6">
        <v>0.91666666666666674</v>
      </c>
      <c r="H56" s="6">
        <v>8.3333333333333343E-2</v>
      </c>
      <c r="I56" s="6">
        <v>0.58333333333333337</v>
      </c>
    </row>
    <row r="57" spans="1:9" x14ac:dyDescent="0.3">
      <c r="C57" s="6">
        <v>9517.3123694372389</v>
      </c>
      <c r="D57" s="6">
        <v>1499.9999999999995</v>
      </c>
      <c r="E57" s="6">
        <v>79.766361831844605</v>
      </c>
      <c r="F57" s="6">
        <v>78.601403658017787</v>
      </c>
      <c r="G57" s="6">
        <v>114.99999999999999</v>
      </c>
      <c r="H57" s="6">
        <v>7.2047001276052649</v>
      </c>
      <c r="I57" s="6">
        <v>2.7202588969232937</v>
      </c>
    </row>
    <row r="58" spans="1:9" x14ac:dyDescent="0.3">
      <c r="A58" t="s">
        <v>184</v>
      </c>
    </row>
    <row r="59" spans="1:9" x14ac:dyDescent="0.3">
      <c r="A59" t="s">
        <v>10</v>
      </c>
      <c r="B59" t="s">
        <v>1</v>
      </c>
      <c r="C59" t="s">
        <v>176</v>
      </c>
      <c r="D59" t="s">
        <v>2</v>
      </c>
      <c r="E59" t="s">
        <v>4</v>
      </c>
      <c r="F59" t="s">
        <v>3</v>
      </c>
      <c r="G59" t="s">
        <v>175</v>
      </c>
      <c r="H59" t="s">
        <v>5</v>
      </c>
      <c r="I59" t="s">
        <v>6</v>
      </c>
    </row>
    <row r="60" spans="1:9" x14ac:dyDescent="0.3">
      <c r="A60" t="s">
        <v>45</v>
      </c>
      <c r="B60" s="6">
        <v>200</v>
      </c>
      <c r="C60" s="6">
        <v>1931.6666666666667</v>
      </c>
      <c r="D60" s="6">
        <v>310</v>
      </c>
      <c r="E60" s="6">
        <v>21.333333333333336</v>
      </c>
      <c r="F60" s="6">
        <v>2.333333333333333</v>
      </c>
      <c r="G60" s="6">
        <v>25</v>
      </c>
      <c r="H60" s="6">
        <v>0</v>
      </c>
      <c r="I60" s="6">
        <v>0.33333333333333337</v>
      </c>
    </row>
    <row r="61" spans="1:9" x14ac:dyDescent="0.3">
      <c r="A61" t="s">
        <v>39</v>
      </c>
      <c r="B61" s="6">
        <v>200</v>
      </c>
      <c r="C61" s="6">
        <v>486.66666666666663</v>
      </c>
      <c r="D61" s="6">
        <v>116.66666666666667</v>
      </c>
      <c r="E61" s="6">
        <v>5.833333333333333</v>
      </c>
      <c r="F61" s="6">
        <v>9.1666666666666661</v>
      </c>
      <c r="G61" s="6">
        <v>6.666666666666667</v>
      </c>
      <c r="H61" s="6">
        <v>0</v>
      </c>
      <c r="I61" s="6">
        <v>0.13333333333333333</v>
      </c>
    </row>
    <row r="62" spans="1:9" x14ac:dyDescent="0.3">
      <c r="A62" t="s">
        <v>118</v>
      </c>
      <c r="B62" s="6">
        <v>200</v>
      </c>
      <c r="C62" s="6">
        <v>3429.9999999999995</v>
      </c>
      <c r="D62" s="6">
        <v>344</v>
      </c>
      <c r="E62" s="6">
        <v>18.600000000000001</v>
      </c>
      <c r="F62" s="6">
        <v>0</v>
      </c>
      <c r="G62" s="6">
        <v>41.8</v>
      </c>
      <c r="H62" s="6">
        <v>0</v>
      </c>
      <c r="I62" s="6">
        <v>0.2</v>
      </c>
    </row>
    <row r="63" spans="1:9" x14ac:dyDescent="0.3">
      <c r="A63" t="s">
        <v>49</v>
      </c>
      <c r="B63" s="6">
        <v>45</v>
      </c>
      <c r="C63" s="6">
        <v>209.00000000000003</v>
      </c>
      <c r="D63" s="6">
        <v>110.00000000000001</v>
      </c>
      <c r="E63" s="6">
        <v>1.5</v>
      </c>
      <c r="F63" s="6">
        <v>19</v>
      </c>
      <c r="G63" s="6">
        <v>4</v>
      </c>
      <c r="H63" s="6">
        <v>1</v>
      </c>
      <c r="I63" s="6">
        <v>0.22</v>
      </c>
    </row>
    <row r="64" spans="1:9" x14ac:dyDescent="0.3">
      <c r="A64" t="s">
        <v>159</v>
      </c>
      <c r="B64" s="6">
        <v>160</v>
      </c>
      <c r="C64" s="6">
        <v>840</v>
      </c>
      <c r="D64" s="6">
        <v>360</v>
      </c>
      <c r="E64" s="6">
        <v>12</v>
      </c>
      <c r="F64" s="6">
        <v>48</v>
      </c>
      <c r="G64" s="6">
        <v>8</v>
      </c>
      <c r="H64" s="6">
        <v>8</v>
      </c>
      <c r="I64" s="6">
        <v>0.38</v>
      </c>
    </row>
    <row r="65" spans="1:9" x14ac:dyDescent="0.3">
      <c r="A65" t="s">
        <v>56</v>
      </c>
      <c r="B65" s="6">
        <v>43</v>
      </c>
      <c r="C65" s="6">
        <v>1085.1176470588234</v>
      </c>
      <c r="D65" s="6">
        <v>50.166666666666671</v>
      </c>
      <c r="E65" s="6">
        <v>0.71666666666666667</v>
      </c>
      <c r="F65" s="6">
        <v>0</v>
      </c>
      <c r="G65" s="6">
        <v>10.75</v>
      </c>
      <c r="H65" s="6">
        <v>0</v>
      </c>
      <c r="I65" s="6">
        <v>0.215</v>
      </c>
    </row>
    <row r="66" spans="1:9" x14ac:dyDescent="0.3">
      <c r="A66" t="s">
        <v>35</v>
      </c>
      <c r="B66" s="6">
        <v>300</v>
      </c>
      <c r="C66" s="6">
        <v>583.5</v>
      </c>
      <c r="D66" s="6">
        <v>261</v>
      </c>
      <c r="E66" s="6">
        <v>0.3</v>
      </c>
      <c r="F66" s="6">
        <v>54.449999999999996</v>
      </c>
      <c r="G66" s="6">
        <v>5.5500000000000007</v>
      </c>
      <c r="H66" s="6">
        <v>6</v>
      </c>
      <c r="I66" s="6">
        <v>0.75</v>
      </c>
    </row>
    <row r="67" spans="1:9" x14ac:dyDescent="0.3">
      <c r="A67" t="s">
        <v>148</v>
      </c>
      <c r="B67" s="6">
        <v>87.976190476190396</v>
      </c>
      <c r="C67" s="6">
        <v>1756.0047619047605</v>
      </c>
      <c r="D67" s="6">
        <v>140.76190476190465</v>
      </c>
      <c r="E67" s="6">
        <v>8.7976190476190403</v>
      </c>
      <c r="F67" s="6">
        <v>3.5190476190476159</v>
      </c>
      <c r="G67" s="6">
        <v>12.316666666666656</v>
      </c>
      <c r="H67" s="6">
        <v>0</v>
      </c>
      <c r="I67" s="6">
        <v>0.87976190476190397</v>
      </c>
    </row>
    <row r="68" spans="1:9" x14ac:dyDescent="0.3">
      <c r="A68" t="s">
        <v>55</v>
      </c>
      <c r="B68" s="6">
        <v>15</v>
      </c>
      <c r="C68" s="6">
        <v>157.10526315789474</v>
      </c>
      <c r="D68" s="6">
        <v>13.333333333333332</v>
      </c>
      <c r="E68" s="6">
        <v>8.3333333333333343E-2</v>
      </c>
      <c r="F68" s="6">
        <v>2.25</v>
      </c>
      <c r="G68" s="6">
        <v>0.91666666666666674</v>
      </c>
      <c r="H68" s="6">
        <v>8.3333333333333343E-2</v>
      </c>
      <c r="I68" s="6">
        <v>0.58333333333333337</v>
      </c>
    </row>
    <row r="69" spans="1:9" x14ac:dyDescent="0.3">
      <c r="C69" s="6">
        <v>10479.061005454812</v>
      </c>
      <c r="D69" s="6">
        <v>1705.9285714285713</v>
      </c>
      <c r="E69" s="6">
        <v>69.164285714285697</v>
      </c>
      <c r="F69" s="6">
        <v>138.71904761904761</v>
      </c>
      <c r="G69" s="6">
        <v>114.99999999999999</v>
      </c>
      <c r="H69" s="6">
        <v>15.083333333333334</v>
      </c>
      <c r="I69" s="6">
        <v>3.6947619047619038</v>
      </c>
    </row>
    <row r="71" spans="1:9" x14ac:dyDescent="0.3">
      <c r="A71" t="s">
        <v>185</v>
      </c>
    </row>
    <row r="72" spans="1:9" x14ac:dyDescent="0.3">
      <c r="A72" t="s">
        <v>10</v>
      </c>
      <c r="B72" t="s">
        <v>1</v>
      </c>
      <c r="C72" t="s">
        <v>176</v>
      </c>
      <c r="D72" t="s">
        <v>2</v>
      </c>
      <c r="E72" t="s">
        <v>4</v>
      </c>
      <c r="F72" t="s">
        <v>3</v>
      </c>
      <c r="G72" t="s">
        <v>175</v>
      </c>
      <c r="H72" t="s">
        <v>5</v>
      </c>
      <c r="I72" t="s">
        <v>6</v>
      </c>
    </row>
    <row r="73" spans="1:9" x14ac:dyDescent="0.3">
      <c r="A73" t="s">
        <v>45</v>
      </c>
      <c r="B73" s="6">
        <v>200</v>
      </c>
      <c r="C73" s="6">
        <v>1931.6666666666667</v>
      </c>
      <c r="D73" s="6">
        <v>310</v>
      </c>
      <c r="E73" s="6">
        <v>21.333333333333336</v>
      </c>
      <c r="F73" s="6">
        <v>2.333333333333333</v>
      </c>
      <c r="G73" s="6">
        <v>25</v>
      </c>
      <c r="H73" s="6">
        <v>0</v>
      </c>
      <c r="I73" s="6">
        <v>0.33333333333333337</v>
      </c>
    </row>
    <row r="74" spans="1:9" x14ac:dyDescent="0.3">
      <c r="A74" t="s">
        <v>39</v>
      </c>
      <c r="B74" s="6">
        <v>200</v>
      </c>
      <c r="C74" s="6">
        <v>486.66666666666663</v>
      </c>
      <c r="D74" s="6">
        <v>116.66666666666667</v>
      </c>
      <c r="E74" s="6">
        <v>5.833333333333333</v>
      </c>
      <c r="F74" s="6">
        <v>9.1666666666666661</v>
      </c>
      <c r="G74" s="6">
        <v>6.666666666666667</v>
      </c>
      <c r="H74" s="6">
        <v>0</v>
      </c>
      <c r="I74" s="6">
        <v>0.13333333333333333</v>
      </c>
    </row>
    <row r="75" spans="1:9" x14ac:dyDescent="0.3">
      <c r="A75" t="s">
        <v>118</v>
      </c>
      <c r="B75" s="6">
        <v>200</v>
      </c>
      <c r="C75" s="6">
        <v>3429.9999999999995</v>
      </c>
      <c r="D75" s="6">
        <v>344</v>
      </c>
      <c r="E75" s="6">
        <v>18.600000000000001</v>
      </c>
      <c r="F75" s="6">
        <v>0</v>
      </c>
      <c r="G75" s="6">
        <v>41.8</v>
      </c>
      <c r="H75" s="6">
        <v>0</v>
      </c>
      <c r="I75" s="6">
        <v>0.2</v>
      </c>
    </row>
    <row r="76" spans="1:9" x14ac:dyDescent="0.3">
      <c r="A76" t="s">
        <v>49</v>
      </c>
      <c r="B76" s="6">
        <v>45</v>
      </c>
      <c r="C76" s="6">
        <v>209.00000000000003</v>
      </c>
      <c r="D76" s="6">
        <v>110.00000000000001</v>
      </c>
      <c r="E76" s="6">
        <v>1.5</v>
      </c>
      <c r="F76" s="6">
        <v>19</v>
      </c>
      <c r="G76" s="6">
        <v>4</v>
      </c>
      <c r="H76" s="6">
        <v>1</v>
      </c>
      <c r="I76" s="6">
        <v>0.22</v>
      </c>
    </row>
    <row r="77" spans="1:9" x14ac:dyDescent="0.3">
      <c r="A77" t="s">
        <v>56</v>
      </c>
      <c r="B77" s="6">
        <v>43</v>
      </c>
      <c r="C77" s="6">
        <v>1085.1176470588234</v>
      </c>
      <c r="D77" s="6">
        <v>50.166666666666671</v>
      </c>
      <c r="E77" s="6">
        <v>0.71666666666666667</v>
      </c>
      <c r="F77" s="6">
        <v>0</v>
      </c>
      <c r="G77" s="6">
        <v>10.75</v>
      </c>
      <c r="H77" s="6">
        <v>0</v>
      </c>
      <c r="I77" s="6">
        <v>0.215</v>
      </c>
    </row>
    <row r="78" spans="1:9" x14ac:dyDescent="0.3">
      <c r="A78" t="s">
        <v>35</v>
      </c>
      <c r="B78" s="6">
        <v>300</v>
      </c>
      <c r="C78" s="6">
        <v>583.5</v>
      </c>
      <c r="D78" s="6">
        <v>261</v>
      </c>
      <c r="E78" s="6">
        <v>0.3</v>
      </c>
      <c r="F78" s="6">
        <v>54.449999999999996</v>
      </c>
      <c r="G78" s="6">
        <v>5.5500000000000007</v>
      </c>
      <c r="H78" s="6">
        <v>6</v>
      </c>
      <c r="I78" s="6">
        <v>0.75</v>
      </c>
    </row>
    <row r="79" spans="1:9" x14ac:dyDescent="0.3">
      <c r="A79" t="s">
        <v>158</v>
      </c>
      <c r="B79" s="6">
        <v>27.459574468085357</v>
      </c>
      <c r="C79" s="6">
        <v>548.09310638298371</v>
      </c>
      <c r="D79" s="6">
        <v>30.510638297872621</v>
      </c>
      <c r="E79" s="6">
        <v>0.76276595744681541</v>
      </c>
      <c r="F79" s="6">
        <v>2.2882978723404461</v>
      </c>
      <c r="G79" s="6">
        <v>3.8138297872340776</v>
      </c>
      <c r="H79" s="6">
        <v>0</v>
      </c>
      <c r="I79" s="6">
        <v>0.51868085106383455</v>
      </c>
    </row>
    <row r="80" spans="1:9" x14ac:dyDescent="0.3">
      <c r="A80" t="s">
        <v>148</v>
      </c>
      <c r="B80" s="6">
        <v>100</v>
      </c>
      <c r="C80" s="6">
        <v>1996</v>
      </c>
      <c r="D80" s="6">
        <v>160</v>
      </c>
      <c r="E80" s="6">
        <v>10</v>
      </c>
      <c r="F80" s="6">
        <v>4</v>
      </c>
      <c r="G80" s="6">
        <v>14.000000000000002</v>
      </c>
      <c r="H80" s="6">
        <v>0</v>
      </c>
      <c r="I80" s="6">
        <v>1</v>
      </c>
    </row>
    <row r="81" spans="1:9" x14ac:dyDescent="0.3">
      <c r="A81" t="s">
        <v>71</v>
      </c>
      <c r="B81" s="6">
        <v>17.542553191488953</v>
      </c>
      <c r="C81" s="6">
        <v>189.96079027355182</v>
      </c>
      <c r="D81" s="6">
        <v>64.322695035459489</v>
      </c>
      <c r="E81" s="6">
        <v>0.58475177304963177</v>
      </c>
      <c r="F81" s="6">
        <v>12.279787234042265</v>
      </c>
      <c r="G81" s="6">
        <v>1.1695035460992635</v>
      </c>
      <c r="H81" s="6">
        <v>1.7542553191488954</v>
      </c>
      <c r="I81" s="6">
        <v>1.7542553191488952E-2</v>
      </c>
    </row>
    <row r="82" spans="1:9" x14ac:dyDescent="0.3">
      <c r="A82" t="s">
        <v>46</v>
      </c>
      <c r="B82" s="6">
        <v>40</v>
      </c>
      <c r="C82" s="6">
        <v>200</v>
      </c>
      <c r="D82" s="6">
        <v>40</v>
      </c>
      <c r="E82" s="6">
        <v>0</v>
      </c>
      <c r="F82" s="6">
        <v>6.6666666666666661</v>
      </c>
      <c r="G82" s="6">
        <v>1.3333333333333333</v>
      </c>
      <c r="H82" s="6">
        <v>1.3333333333333333</v>
      </c>
      <c r="I82" s="6">
        <v>0.45333333333333337</v>
      </c>
    </row>
    <row r="83" spans="1:9" x14ac:dyDescent="0.3">
      <c r="A83" t="s">
        <v>55</v>
      </c>
      <c r="B83" s="6">
        <v>15</v>
      </c>
      <c r="C83" s="6">
        <v>157.10526315789474</v>
      </c>
      <c r="D83" s="6">
        <v>13.333333333333332</v>
      </c>
      <c r="E83" s="6">
        <v>8.3333333333333343E-2</v>
      </c>
      <c r="F83" s="6">
        <v>2.25</v>
      </c>
      <c r="G83" s="6">
        <v>0.91666666666666674</v>
      </c>
      <c r="H83" s="6">
        <v>8.3333333333333343E-2</v>
      </c>
      <c r="I83" s="6">
        <v>0.58333333333333337</v>
      </c>
    </row>
    <row r="84" spans="1:9" x14ac:dyDescent="0.3">
      <c r="C84" s="6">
        <v>10817.110140206587</v>
      </c>
      <c r="D84" s="6">
        <v>1499.9999999999989</v>
      </c>
      <c r="E84" s="6">
        <v>59.714184397163116</v>
      </c>
      <c r="F84" s="6">
        <v>112.43475177304937</v>
      </c>
      <c r="G84" s="6">
        <v>115.00000000000001</v>
      </c>
      <c r="H84" s="6">
        <v>10.170921985815564</v>
      </c>
      <c r="I84" s="6">
        <v>4.4245567375886568</v>
      </c>
    </row>
    <row r="86" spans="1:9" x14ac:dyDescent="0.3">
      <c r="A86" t="s">
        <v>186</v>
      </c>
    </row>
    <row r="87" spans="1:9" x14ac:dyDescent="0.3">
      <c r="A87" t="s">
        <v>10</v>
      </c>
      <c r="B87" t="s">
        <v>1</v>
      </c>
      <c r="C87" t="s">
        <v>176</v>
      </c>
      <c r="D87" t="s">
        <v>2</v>
      </c>
      <c r="E87" t="s">
        <v>4</v>
      </c>
      <c r="F87" t="s">
        <v>3</v>
      </c>
      <c r="G87" t="s">
        <v>175</v>
      </c>
      <c r="H87" t="s">
        <v>5</v>
      </c>
      <c r="I87" t="s">
        <v>6</v>
      </c>
    </row>
    <row r="88" spans="1:9" x14ac:dyDescent="0.3">
      <c r="A88" t="s">
        <v>45</v>
      </c>
      <c r="B88" s="6">
        <v>200</v>
      </c>
      <c r="C88" s="6">
        <v>1931.6666666666667</v>
      </c>
      <c r="D88" s="6">
        <v>310</v>
      </c>
      <c r="E88" s="6">
        <v>21.333333333333336</v>
      </c>
      <c r="F88" s="6">
        <v>2.333333333333333</v>
      </c>
      <c r="G88" s="6">
        <v>25</v>
      </c>
      <c r="H88" s="6">
        <v>0</v>
      </c>
      <c r="I88" s="6">
        <v>0.33333333333333337</v>
      </c>
    </row>
    <row r="89" spans="1:9" x14ac:dyDescent="0.3">
      <c r="A89" t="s">
        <v>39</v>
      </c>
      <c r="B89" s="6">
        <v>200</v>
      </c>
      <c r="C89" s="6">
        <v>486.66666666666663</v>
      </c>
      <c r="D89" s="6">
        <v>116.66666666666667</v>
      </c>
      <c r="E89" s="6">
        <v>5.833333333333333</v>
      </c>
      <c r="F89" s="6">
        <v>9.1666666666666661</v>
      </c>
      <c r="G89" s="6">
        <v>6.666666666666667</v>
      </c>
      <c r="H89" s="6">
        <v>0</v>
      </c>
      <c r="I89" s="6">
        <v>0.13333333333333333</v>
      </c>
    </row>
    <row r="90" spans="1:9" x14ac:dyDescent="0.3">
      <c r="A90" t="s">
        <v>118</v>
      </c>
      <c r="B90" s="6">
        <v>200</v>
      </c>
      <c r="C90" s="6">
        <v>3429.9999999999995</v>
      </c>
      <c r="D90" s="6">
        <v>344</v>
      </c>
      <c r="E90" s="6">
        <v>18.600000000000001</v>
      </c>
      <c r="F90" s="6">
        <v>0</v>
      </c>
      <c r="G90" s="6">
        <v>41.8</v>
      </c>
      <c r="H90" s="6">
        <v>0</v>
      </c>
      <c r="I90" s="6">
        <v>0.2</v>
      </c>
    </row>
    <row r="91" spans="1:9" x14ac:dyDescent="0.3">
      <c r="A91" t="s">
        <v>49</v>
      </c>
      <c r="B91" s="6">
        <v>45</v>
      </c>
      <c r="C91" s="6">
        <v>209.00000000000003</v>
      </c>
      <c r="D91" s="6">
        <v>110.00000000000001</v>
      </c>
      <c r="E91" s="6">
        <v>1.5</v>
      </c>
      <c r="F91" s="6">
        <v>19</v>
      </c>
      <c r="G91" s="6">
        <v>4</v>
      </c>
      <c r="H91" s="6">
        <v>1</v>
      </c>
      <c r="I91" s="6">
        <v>0.22</v>
      </c>
    </row>
    <row r="92" spans="1:9" x14ac:dyDescent="0.3">
      <c r="A92" t="s">
        <v>56</v>
      </c>
      <c r="B92" s="6">
        <v>43</v>
      </c>
      <c r="C92" s="6">
        <v>1085.1176470588234</v>
      </c>
      <c r="D92" s="6">
        <v>50.166666666666671</v>
      </c>
      <c r="E92" s="6">
        <v>0.71666666666666667</v>
      </c>
      <c r="F92" s="6">
        <v>0</v>
      </c>
      <c r="G92" s="6">
        <v>10.75</v>
      </c>
      <c r="H92" s="6">
        <v>0</v>
      </c>
      <c r="I92" s="6">
        <v>0.215</v>
      </c>
    </row>
    <row r="93" spans="1:9" x14ac:dyDescent="0.3">
      <c r="A93" t="s">
        <v>35</v>
      </c>
      <c r="B93" s="6">
        <v>300</v>
      </c>
      <c r="C93" s="6">
        <v>583.5</v>
      </c>
      <c r="D93" s="6">
        <v>261</v>
      </c>
      <c r="E93" s="6">
        <v>0.3</v>
      </c>
      <c r="F93" s="6">
        <v>54.449999999999996</v>
      </c>
      <c r="G93" s="6">
        <v>5.5500000000000007</v>
      </c>
      <c r="H93" s="6">
        <v>6</v>
      </c>
      <c r="I93" s="6">
        <v>0.75</v>
      </c>
    </row>
    <row r="94" spans="1:9" x14ac:dyDescent="0.3">
      <c r="A94" t="s">
        <v>148</v>
      </c>
      <c r="B94" s="6">
        <v>96.598360655738233</v>
      </c>
      <c r="C94" s="6">
        <v>1928.1032786885353</v>
      </c>
      <c r="D94" s="6">
        <v>154.55737704918118</v>
      </c>
      <c r="E94" s="6">
        <v>9.659836065573824</v>
      </c>
      <c r="F94" s="6">
        <v>3.8639344262295294</v>
      </c>
      <c r="G94" s="6">
        <v>13.523770491803354</v>
      </c>
      <c r="H94" s="6">
        <v>0</v>
      </c>
      <c r="I94" s="6">
        <v>0.96598360655738236</v>
      </c>
    </row>
    <row r="95" spans="1:9" x14ac:dyDescent="0.3">
      <c r="A95" t="s">
        <v>71</v>
      </c>
      <c r="B95" s="6">
        <v>81.893442622949792</v>
      </c>
      <c r="C95" s="6">
        <v>886.78899297422777</v>
      </c>
      <c r="D95" s="6">
        <v>300.27595628414923</v>
      </c>
      <c r="E95" s="6">
        <v>2.7297814207649931</v>
      </c>
      <c r="F95" s="6">
        <v>57.32540983606485</v>
      </c>
      <c r="G95" s="6">
        <v>5.4595628415299862</v>
      </c>
      <c r="H95" s="6">
        <v>8.1893442622949788</v>
      </c>
      <c r="I95" s="6">
        <v>8.18934426229498E-2</v>
      </c>
    </row>
    <row r="96" spans="1:9" x14ac:dyDescent="0.3">
      <c r="A96" t="s">
        <v>46</v>
      </c>
      <c r="B96" s="6">
        <v>40</v>
      </c>
      <c r="C96" s="6">
        <v>200</v>
      </c>
      <c r="D96" s="6">
        <v>40</v>
      </c>
      <c r="E96" s="6">
        <v>0</v>
      </c>
      <c r="F96" s="6">
        <v>6.6666666666666661</v>
      </c>
      <c r="G96" s="6">
        <v>1.3333333333333333</v>
      </c>
      <c r="H96" s="6">
        <v>1.3333333333333333</v>
      </c>
      <c r="I96" s="6">
        <v>0.45333333333333337</v>
      </c>
    </row>
    <row r="97" spans="1:9" x14ac:dyDescent="0.3">
      <c r="A97" t="s">
        <v>55</v>
      </c>
      <c r="B97" s="6">
        <v>15</v>
      </c>
      <c r="C97" s="6">
        <v>157.10526315789474</v>
      </c>
      <c r="D97" s="6">
        <v>13.333333333333332</v>
      </c>
      <c r="E97" s="6">
        <v>8.3333333333333343E-2</v>
      </c>
      <c r="F97" s="6">
        <v>2.25</v>
      </c>
      <c r="G97" s="6">
        <v>0.91666666666666674</v>
      </c>
      <c r="H97" s="6">
        <v>8.3333333333333343E-2</v>
      </c>
      <c r="I97" s="6">
        <v>0.58333333333333337</v>
      </c>
    </row>
    <row r="98" spans="1:9" x14ac:dyDescent="0.3">
      <c r="C98" s="6">
        <v>10897.948515212813</v>
      </c>
      <c r="D98" s="6">
        <v>1699.9999999999973</v>
      </c>
      <c r="E98" s="6">
        <v>60.756284153005488</v>
      </c>
      <c r="F98" s="6">
        <v>155.05601092896103</v>
      </c>
      <c r="G98" s="6">
        <v>115</v>
      </c>
      <c r="H98" s="6">
        <v>16.606010928961645</v>
      </c>
      <c r="I98" s="6">
        <v>3.9362103825136656</v>
      </c>
    </row>
    <row r="100" spans="1:9" x14ac:dyDescent="0.3">
      <c r="A100" t="s">
        <v>187</v>
      </c>
    </row>
    <row r="101" spans="1:9" x14ac:dyDescent="0.3">
      <c r="A101" t="s">
        <v>10</v>
      </c>
      <c r="B101" t="s">
        <v>1</v>
      </c>
      <c r="C101" t="s">
        <v>176</v>
      </c>
      <c r="D101" t="s">
        <v>2</v>
      </c>
      <c r="E101" t="s">
        <v>4</v>
      </c>
      <c r="F101" t="s">
        <v>3</v>
      </c>
      <c r="G101" t="s">
        <v>175</v>
      </c>
      <c r="H101" t="s">
        <v>5</v>
      </c>
      <c r="I101" t="s">
        <v>6</v>
      </c>
    </row>
    <row r="102" spans="1:9" x14ac:dyDescent="0.3">
      <c r="A102" t="s">
        <v>45</v>
      </c>
      <c r="B102" s="6">
        <v>200</v>
      </c>
      <c r="C102" s="6">
        <v>1931.6666666666667</v>
      </c>
      <c r="D102" s="6">
        <v>310</v>
      </c>
      <c r="E102" s="6">
        <v>21.333333333333336</v>
      </c>
      <c r="F102" s="6">
        <v>2.333333333333333</v>
      </c>
      <c r="G102" s="6">
        <v>25</v>
      </c>
      <c r="H102" s="6">
        <v>0</v>
      </c>
      <c r="I102" s="6">
        <v>0.33333333333333337</v>
      </c>
    </row>
    <row r="103" spans="1:9" x14ac:dyDescent="0.3">
      <c r="A103" t="s">
        <v>39</v>
      </c>
      <c r="B103" s="6">
        <v>200</v>
      </c>
      <c r="C103" s="6">
        <v>486.66666666666663</v>
      </c>
      <c r="D103" s="6">
        <v>116.66666666666667</v>
      </c>
      <c r="E103" s="6">
        <v>5.833333333333333</v>
      </c>
      <c r="F103" s="6">
        <v>9.1666666666666661</v>
      </c>
      <c r="G103" s="6">
        <v>6.666666666666667</v>
      </c>
      <c r="H103" s="6">
        <v>0</v>
      </c>
      <c r="I103" s="6">
        <v>0.13333333333333333</v>
      </c>
    </row>
    <row r="104" spans="1:9" x14ac:dyDescent="0.3">
      <c r="A104" t="s">
        <v>118</v>
      </c>
      <c r="B104" s="6">
        <v>200</v>
      </c>
      <c r="C104" s="6">
        <v>3429.9999999999995</v>
      </c>
      <c r="D104" s="6">
        <v>344</v>
      </c>
      <c r="E104" s="6">
        <v>18.600000000000001</v>
      </c>
      <c r="F104" s="6">
        <v>0</v>
      </c>
      <c r="G104" s="6">
        <v>41.8</v>
      </c>
      <c r="H104" s="6">
        <v>0</v>
      </c>
      <c r="I104" s="6">
        <v>0.2</v>
      </c>
    </row>
    <row r="105" spans="1:9" x14ac:dyDescent="0.3">
      <c r="A105" t="s">
        <v>49</v>
      </c>
      <c r="B105" s="6">
        <v>45</v>
      </c>
      <c r="C105" s="6">
        <v>209.00000000000003</v>
      </c>
      <c r="D105" s="6">
        <v>110.00000000000001</v>
      </c>
      <c r="E105" s="6">
        <v>1.5</v>
      </c>
      <c r="F105" s="6">
        <v>19</v>
      </c>
      <c r="G105" s="6">
        <v>4</v>
      </c>
      <c r="H105" s="6">
        <v>1</v>
      </c>
      <c r="I105" s="6">
        <v>0.22</v>
      </c>
    </row>
    <row r="106" spans="1:9" x14ac:dyDescent="0.3">
      <c r="A106" t="s">
        <v>56</v>
      </c>
      <c r="B106" s="6">
        <v>43</v>
      </c>
      <c r="C106" s="6">
        <v>1085.1176470588234</v>
      </c>
      <c r="D106" s="6">
        <v>50.166666666666671</v>
      </c>
      <c r="E106" s="6">
        <v>0.71666666666666667</v>
      </c>
      <c r="F106" s="6">
        <v>0</v>
      </c>
      <c r="G106" s="6">
        <v>10.75</v>
      </c>
      <c r="H106" s="6">
        <v>0</v>
      </c>
      <c r="I106" s="6">
        <v>0.215</v>
      </c>
    </row>
    <row r="107" spans="1:9" x14ac:dyDescent="0.3">
      <c r="A107" t="s">
        <v>158</v>
      </c>
      <c r="B107" s="6">
        <v>18</v>
      </c>
      <c r="C107" s="6">
        <v>359.28000000000003</v>
      </c>
      <c r="D107" s="6">
        <v>20</v>
      </c>
      <c r="E107" s="6">
        <v>0.5</v>
      </c>
      <c r="F107" s="6">
        <v>1.5</v>
      </c>
      <c r="G107" s="6">
        <v>2.5</v>
      </c>
      <c r="H107" s="6">
        <v>0</v>
      </c>
      <c r="I107" s="6">
        <v>0.34</v>
      </c>
    </row>
    <row r="108" spans="1:9" x14ac:dyDescent="0.3">
      <c r="A108" t="s">
        <v>148</v>
      </c>
      <c r="B108" s="6">
        <v>90.12295081967234</v>
      </c>
      <c r="C108" s="6">
        <v>1798.8540983606599</v>
      </c>
      <c r="D108" s="6">
        <v>144.19672131147576</v>
      </c>
      <c r="E108" s="6">
        <v>9.0122950819672347</v>
      </c>
      <c r="F108" s="6">
        <v>3.6049180327868937</v>
      </c>
      <c r="G108" s="6">
        <v>12.617213114754129</v>
      </c>
      <c r="H108" s="6">
        <v>0</v>
      </c>
      <c r="I108" s="6">
        <v>0.90122950819672343</v>
      </c>
    </row>
    <row r="109" spans="1:9" x14ac:dyDescent="0.3">
      <c r="A109" t="s">
        <v>71</v>
      </c>
      <c r="B109" s="6">
        <v>140.70608899297369</v>
      </c>
      <c r="C109" s="6">
        <v>1523.6459350953437</v>
      </c>
      <c r="D109" s="6">
        <v>515.92232630757019</v>
      </c>
      <c r="E109" s="6">
        <v>4.690202966432456</v>
      </c>
      <c r="F109" s="6">
        <v>98.494262295081583</v>
      </c>
      <c r="G109" s="6">
        <v>9.3804059328649121</v>
      </c>
      <c r="H109" s="6">
        <v>14.070608899297369</v>
      </c>
      <c r="I109" s="6">
        <v>0.14070608899297368</v>
      </c>
    </row>
    <row r="110" spans="1:9" x14ac:dyDescent="0.3">
      <c r="A110" t="s">
        <v>46</v>
      </c>
      <c r="B110" s="6">
        <v>40</v>
      </c>
      <c r="C110" s="6">
        <v>200</v>
      </c>
      <c r="D110" s="6">
        <v>40</v>
      </c>
      <c r="E110" s="6">
        <v>0</v>
      </c>
      <c r="F110" s="6">
        <v>6.6666666666666661</v>
      </c>
      <c r="G110" s="6">
        <v>1.3333333333333333</v>
      </c>
      <c r="H110" s="6">
        <v>1.3333333333333333</v>
      </c>
      <c r="I110" s="6">
        <v>0.45333333333333337</v>
      </c>
    </row>
    <row r="111" spans="1:9" x14ac:dyDescent="0.3">
      <c r="A111" t="s">
        <v>55</v>
      </c>
      <c r="B111" s="6">
        <v>15</v>
      </c>
      <c r="C111" s="6">
        <v>157.10526315789474</v>
      </c>
      <c r="D111" s="6">
        <v>13.333333333333332</v>
      </c>
      <c r="E111" s="6">
        <v>8.3333333333333343E-2</v>
      </c>
      <c r="F111" s="6">
        <v>2.25</v>
      </c>
      <c r="G111" s="6">
        <v>0.91666666666666674</v>
      </c>
      <c r="H111" s="6">
        <v>8.3333333333333343E-2</v>
      </c>
      <c r="I111" s="6">
        <v>0.58333333333333337</v>
      </c>
    </row>
    <row r="112" spans="1:9" x14ac:dyDescent="0.3">
      <c r="A112" t="s">
        <v>58</v>
      </c>
      <c r="B112" s="6">
        <v>5</v>
      </c>
      <c r="C112" s="6">
        <v>95.199999999999989</v>
      </c>
      <c r="D112" s="6">
        <v>35.714285714285715</v>
      </c>
      <c r="E112" s="6">
        <v>3.9285714285714284</v>
      </c>
      <c r="F112" s="6">
        <v>0</v>
      </c>
      <c r="G112" s="6">
        <v>3.5714285714285719E-2</v>
      </c>
      <c r="H112" s="6">
        <v>0</v>
      </c>
      <c r="I112" s="6">
        <v>4.4642857142857137E-2</v>
      </c>
    </row>
    <row r="113" spans="1:9" x14ac:dyDescent="0.3">
      <c r="C113" s="6">
        <v>11276.536277006055</v>
      </c>
      <c r="D113" s="6">
        <v>1699.9999999999984</v>
      </c>
      <c r="E113" s="6">
        <v>66.197736143637798</v>
      </c>
      <c r="F113" s="6">
        <v>143.01584699453514</v>
      </c>
      <c r="G113" s="6">
        <v>115</v>
      </c>
      <c r="H113" s="6">
        <v>16.487275565964033</v>
      </c>
      <c r="I113" s="6">
        <v>3.5649117876658876</v>
      </c>
    </row>
    <row r="115" spans="1:9" x14ac:dyDescent="0.3">
      <c r="A115" t="s">
        <v>188</v>
      </c>
    </row>
    <row r="116" spans="1:9" x14ac:dyDescent="0.3">
      <c r="A116" t="s">
        <v>10</v>
      </c>
      <c r="B116" t="s">
        <v>1</v>
      </c>
      <c r="C116" t="s">
        <v>176</v>
      </c>
      <c r="D116" t="s">
        <v>2</v>
      </c>
      <c r="E116" t="s">
        <v>4</v>
      </c>
      <c r="F116" t="s">
        <v>3</v>
      </c>
      <c r="G116" t="s">
        <v>175</v>
      </c>
      <c r="H116" t="s">
        <v>5</v>
      </c>
      <c r="I116" t="s">
        <v>6</v>
      </c>
    </row>
    <row r="117" spans="1:9" x14ac:dyDescent="0.3">
      <c r="A117" t="s">
        <v>45</v>
      </c>
      <c r="B117" s="6">
        <v>200</v>
      </c>
      <c r="C117" s="6">
        <v>1931.6666666666667</v>
      </c>
      <c r="D117" s="6">
        <v>310</v>
      </c>
      <c r="E117" s="6">
        <v>21.333333333333336</v>
      </c>
      <c r="F117" s="6">
        <v>2.333333333333333</v>
      </c>
      <c r="G117" s="6">
        <v>25</v>
      </c>
      <c r="H117" s="6">
        <v>0</v>
      </c>
      <c r="I117" s="6">
        <v>0.33333333333333337</v>
      </c>
    </row>
    <row r="118" spans="1:9" x14ac:dyDescent="0.3">
      <c r="A118" t="s">
        <v>39</v>
      </c>
      <c r="B118" s="6">
        <v>200</v>
      </c>
      <c r="C118" s="6">
        <v>486.66666666666663</v>
      </c>
      <c r="D118" s="6">
        <v>116.66666666666667</v>
      </c>
      <c r="E118" s="6">
        <v>5.833333333333333</v>
      </c>
      <c r="F118" s="6">
        <v>9.1666666666666661</v>
      </c>
      <c r="G118" s="6">
        <v>6.666666666666667</v>
      </c>
      <c r="H118" s="6">
        <v>0</v>
      </c>
      <c r="I118" s="6">
        <v>0.13333333333333333</v>
      </c>
    </row>
    <row r="119" spans="1:9" x14ac:dyDescent="0.3">
      <c r="A119" t="s">
        <v>118</v>
      </c>
      <c r="B119" s="6">
        <v>200</v>
      </c>
      <c r="C119" s="6">
        <v>3429.9999999999995</v>
      </c>
      <c r="D119" s="6">
        <v>344</v>
      </c>
      <c r="E119" s="6">
        <v>18.600000000000001</v>
      </c>
      <c r="F119" s="6">
        <v>0</v>
      </c>
      <c r="G119" s="6">
        <v>41.8</v>
      </c>
      <c r="H119" s="6">
        <v>0</v>
      </c>
      <c r="I119" s="6">
        <v>0.2</v>
      </c>
    </row>
    <row r="120" spans="1:9" x14ac:dyDescent="0.3">
      <c r="A120" t="s">
        <v>49</v>
      </c>
      <c r="B120" s="6">
        <v>45</v>
      </c>
      <c r="C120" s="6">
        <v>209.00000000000003</v>
      </c>
      <c r="D120" s="6">
        <v>110.00000000000001</v>
      </c>
      <c r="E120" s="6">
        <v>1.5</v>
      </c>
      <c r="F120" s="6">
        <v>19</v>
      </c>
      <c r="G120" s="6">
        <v>4</v>
      </c>
      <c r="H120" s="6">
        <v>1</v>
      </c>
      <c r="I120" s="6">
        <v>0.22</v>
      </c>
    </row>
    <row r="121" spans="1:9" x14ac:dyDescent="0.3">
      <c r="A121" t="s">
        <v>56</v>
      </c>
      <c r="B121" s="6">
        <v>43</v>
      </c>
      <c r="C121" s="6">
        <v>1085.1176470588234</v>
      </c>
      <c r="D121" s="6">
        <v>50.166666666666671</v>
      </c>
      <c r="E121" s="6">
        <v>0.71666666666666667</v>
      </c>
      <c r="F121" s="6">
        <v>0</v>
      </c>
      <c r="G121" s="6">
        <v>10.75</v>
      </c>
      <c r="H121" s="6">
        <v>0</v>
      </c>
      <c r="I121" s="6">
        <v>0.215</v>
      </c>
    </row>
    <row r="122" spans="1:9" x14ac:dyDescent="0.3">
      <c r="A122" t="s">
        <v>158</v>
      </c>
      <c r="B122" s="6">
        <v>54</v>
      </c>
      <c r="C122" s="6">
        <v>1077.8400000000001</v>
      </c>
      <c r="D122" s="6">
        <v>60</v>
      </c>
      <c r="E122" s="6">
        <v>1.5</v>
      </c>
      <c r="F122" s="6">
        <v>4.5</v>
      </c>
      <c r="G122" s="6">
        <v>7.5</v>
      </c>
      <c r="H122" s="6">
        <v>0</v>
      </c>
      <c r="I122" s="6">
        <v>1.02</v>
      </c>
    </row>
    <row r="123" spans="1:9" x14ac:dyDescent="0.3">
      <c r="A123" t="s">
        <v>71</v>
      </c>
      <c r="B123" s="6">
        <v>150</v>
      </c>
      <c r="C123" s="6">
        <v>1624.2857142857144</v>
      </c>
      <c r="D123" s="6">
        <v>550</v>
      </c>
      <c r="E123" s="6">
        <v>5</v>
      </c>
      <c r="F123" s="6">
        <v>105</v>
      </c>
      <c r="G123" s="6">
        <v>10</v>
      </c>
      <c r="H123" s="6">
        <v>15</v>
      </c>
      <c r="I123" s="6">
        <v>0.15</v>
      </c>
    </row>
    <row r="124" spans="1:9" x14ac:dyDescent="0.3">
      <c r="A124" t="s">
        <v>46</v>
      </c>
      <c r="B124" s="6">
        <v>40</v>
      </c>
      <c r="C124" s="6">
        <v>200</v>
      </c>
      <c r="D124" s="6">
        <v>40</v>
      </c>
      <c r="E124" s="6">
        <v>0</v>
      </c>
      <c r="F124" s="6">
        <v>6.6666666666666661</v>
      </c>
      <c r="G124" s="6">
        <v>1.3333333333333333</v>
      </c>
      <c r="H124" s="6">
        <v>1.3333333333333333</v>
      </c>
      <c r="I124" s="6">
        <v>0.45333333333333337</v>
      </c>
    </row>
    <row r="125" spans="1:9" x14ac:dyDescent="0.3">
      <c r="A125" t="s">
        <v>55</v>
      </c>
      <c r="B125" s="6">
        <v>30</v>
      </c>
      <c r="C125" s="6">
        <v>314.21052631578948</v>
      </c>
      <c r="D125" s="6">
        <v>26.666666666666664</v>
      </c>
      <c r="E125" s="6">
        <v>0.16666666666666669</v>
      </c>
      <c r="F125" s="6">
        <v>4.5</v>
      </c>
      <c r="G125" s="6">
        <v>1.8333333333333335</v>
      </c>
      <c r="H125" s="6">
        <v>0.16666666666666669</v>
      </c>
      <c r="I125" s="6">
        <v>1.1666666666666667</v>
      </c>
    </row>
    <row r="126" spans="1:9" x14ac:dyDescent="0.3">
      <c r="A126" t="s">
        <v>69</v>
      </c>
      <c r="B126" s="6">
        <v>10</v>
      </c>
      <c r="C126" s="6">
        <v>160.43478260869566</v>
      </c>
      <c r="D126" s="6">
        <v>10</v>
      </c>
      <c r="E126" s="6">
        <v>0</v>
      </c>
      <c r="F126" s="6">
        <v>0.66666666666666663</v>
      </c>
      <c r="G126" s="6">
        <v>0.66666666666666663</v>
      </c>
      <c r="H126" s="6">
        <v>0.66666666666666663</v>
      </c>
      <c r="I126" s="6">
        <v>0</v>
      </c>
    </row>
    <row r="127" spans="1:9" x14ac:dyDescent="0.3">
      <c r="A127" t="s">
        <v>52</v>
      </c>
      <c r="B127" s="6">
        <v>150</v>
      </c>
      <c r="C127" s="6">
        <v>883.5</v>
      </c>
      <c r="D127" s="6">
        <v>53.571428571428569</v>
      </c>
      <c r="E127" s="6">
        <v>0.6428571428571429</v>
      </c>
      <c r="F127" s="6">
        <v>5.7857142857142865</v>
      </c>
      <c r="G127" s="6">
        <v>3.6428571428571428</v>
      </c>
      <c r="H127" s="6">
        <v>4.9285714285714279</v>
      </c>
      <c r="I127" s="6">
        <v>0.42857142857142855</v>
      </c>
    </row>
    <row r="128" spans="1:9" x14ac:dyDescent="0.3">
      <c r="A128" t="s">
        <v>36</v>
      </c>
      <c r="B128" s="6">
        <v>188.9523809523846</v>
      </c>
      <c r="C128" s="6">
        <v>551.11111111112177</v>
      </c>
      <c r="D128" s="6">
        <v>78.238095238096747</v>
      </c>
      <c r="E128" s="6">
        <v>0.44285714285715139</v>
      </c>
      <c r="F128" s="6">
        <v>12.842857142857392</v>
      </c>
      <c r="G128" s="6">
        <v>1.7714285714286055</v>
      </c>
      <c r="H128" s="6">
        <v>5.3142857142858171</v>
      </c>
      <c r="I128" s="6">
        <v>0.14761904761905048</v>
      </c>
    </row>
    <row r="129" spans="1:9" x14ac:dyDescent="0.3">
      <c r="A129" t="s">
        <v>58</v>
      </c>
      <c r="B129" s="6">
        <v>5</v>
      </c>
      <c r="C129" s="6">
        <v>95.199999999999989</v>
      </c>
      <c r="D129" s="6">
        <v>35.714285714285715</v>
      </c>
      <c r="E129" s="6">
        <v>3.9285714285714284</v>
      </c>
      <c r="F129" s="6">
        <v>0</v>
      </c>
      <c r="G129" s="6">
        <v>3.5714285714285719E-2</v>
      </c>
      <c r="H129" s="6">
        <v>0</v>
      </c>
      <c r="I129" s="6">
        <v>4.4642857142857137E-2</v>
      </c>
    </row>
    <row r="130" spans="1:9" x14ac:dyDescent="0.3">
      <c r="C130" s="6">
        <v>12049.03311471348</v>
      </c>
      <c r="D130" s="6">
        <v>1785.0238095238115</v>
      </c>
      <c r="E130" s="6">
        <v>59.664285714285725</v>
      </c>
      <c r="F130" s="6">
        <v>170.46190476190498</v>
      </c>
      <c r="G130" s="6">
        <v>115.00000000000003</v>
      </c>
      <c r="H130" s="6">
        <v>28.409523809523911</v>
      </c>
      <c r="I130" s="6">
        <v>4.5125000000000037</v>
      </c>
    </row>
    <row r="133" spans="1:9" x14ac:dyDescent="0.3">
      <c r="A133" t="s">
        <v>189</v>
      </c>
    </row>
    <row r="134" spans="1:9" x14ac:dyDescent="0.3">
      <c r="A134" t="s">
        <v>10</v>
      </c>
      <c r="B134" t="s">
        <v>1</v>
      </c>
      <c r="C134" t="s">
        <v>176</v>
      </c>
      <c r="D134" t="s">
        <v>2</v>
      </c>
      <c r="E134" t="s">
        <v>4</v>
      </c>
      <c r="F134" t="s">
        <v>3</v>
      </c>
      <c r="G134" t="s">
        <v>175</v>
      </c>
      <c r="H134" t="s">
        <v>5</v>
      </c>
      <c r="I134" t="s">
        <v>6</v>
      </c>
    </row>
    <row r="135" spans="1:9" x14ac:dyDescent="0.3">
      <c r="A135" t="s">
        <v>45</v>
      </c>
      <c r="B135" s="6">
        <v>200</v>
      </c>
      <c r="C135" s="6">
        <v>1931.6666666666667</v>
      </c>
      <c r="D135" s="6">
        <v>310</v>
      </c>
      <c r="E135" s="6">
        <v>21.333333333333336</v>
      </c>
      <c r="F135" s="6">
        <v>2.333333333333333</v>
      </c>
      <c r="G135" s="6">
        <v>25</v>
      </c>
      <c r="H135" s="6">
        <v>0</v>
      </c>
      <c r="I135" s="6">
        <v>0.33333333333333337</v>
      </c>
    </row>
    <row r="136" spans="1:9" x14ac:dyDescent="0.3">
      <c r="A136" t="s">
        <v>39</v>
      </c>
      <c r="B136" s="6">
        <v>200</v>
      </c>
      <c r="C136" s="6">
        <v>486.66666666666663</v>
      </c>
      <c r="D136" s="6">
        <v>116.66666666666667</v>
      </c>
      <c r="E136" s="6">
        <v>5.833333333333333</v>
      </c>
      <c r="F136" s="6">
        <v>9.1666666666666661</v>
      </c>
      <c r="G136" s="6">
        <v>6.666666666666667</v>
      </c>
      <c r="H136" s="6">
        <v>0</v>
      </c>
      <c r="I136" s="6">
        <v>0.13333333333333333</v>
      </c>
    </row>
    <row r="137" spans="1:9" x14ac:dyDescent="0.3">
      <c r="A137" t="s">
        <v>118</v>
      </c>
      <c r="B137" s="6">
        <v>200</v>
      </c>
      <c r="C137" s="6">
        <v>3429.9999999999995</v>
      </c>
      <c r="D137" s="6">
        <v>344</v>
      </c>
      <c r="E137" s="6">
        <v>18.600000000000001</v>
      </c>
      <c r="F137" s="6">
        <v>0</v>
      </c>
      <c r="G137" s="6">
        <v>41.8</v>
      </c>
      <c r="H137" s="6">
        <v>0</v>
      </c>
      <c r="I137" s="6">
        <v>0.2</v>
      </c>
    </row>
    <row r="138" spans="1:9" x14ac:dyDescent="0.3">
      <c r="A138" t="s">
        <v>49</v>
      </c>
      <c r="B138" s="6">
        <v>45</v>
      </c>
      <c r="C138" s="6">
        <v>209.00000000000003</v>
      </c>
      <c r="D138" s="6">
        <v>110.00000000000001</v>
      </c>
      <c r="E138" s="6">
        <v>1.5</v>
      </c>
      <c r="F138" s="6">
        <v>19</v>
      </c>
      <c r="G138" s="6">
        <v>4</v>
      </c>
      <c r="H138" s="6">
        <v>1</v>
      </c>
      <c r="I138" s="6">
        <v>0.22</v>
      </c>
    </row>
    <row r="139" spans="1:9" x14ac:dyDescent="0.3">
      <c r="A139" t="s">
        <v>40</v>
      </c>
      <c r="B139" s="6">
        <v>237.72193211488189</v>
      </c>
      <c r="C139" s="6">
        <v>853.42173629242598</v>
      </c>
      <c r="D139" s="6">
        <v>855.79895561357489</v>
      </c>
      <c r="E139" s="6">
        <v>0</v>
      </c>
      <c r="F139" s="6">
        <v>175.91422976501261</v>
      </c>
      <c r="G139" s="6">
        <v>19.017754569190551</v>
      </c>
      <c r="H139" s="6">
        <v>9.5088772845952754</v>
      </c>
      <c r="I139" s="6">
        <v>0</v>
      </c>
    </row>
    <row r="140" spans="1:9" x14ac:dyDescent="0.3">
      <c r="A140" t="s">
        <v>158</v>
      </c>
      <c r="B140" s="6">
        <v>54</v>
      </c>
      <c r="C140" s="6">
        <v>1077.8400000000001</v>
      </c>
      <c r="D140" s="6">
        <v>60</v>
      </c>
      <c r="E140" s="6">
        <v>1.5</v>
      </c>
      <c r="F140" s="6">
        <v>4.5</v>
      </c>
      <c r="G140" s="6">
        <v>7.5</v>
      </c>
      <c r="H140" s="6">
        <v>0</v>
      </c>
      <c r="I140" s="6">
        <v>1.02</v>
      </c>
    </row>
    <row r="141" spans="1:9" x14ac:dyDescent="0.3">
      <c r="A141" t="s">
        <v>46</v>
      </c>
      <c r="B141" s="6">
        <v>40</v>
      </c>
      <c r="C141" s="6">
        <v>200</v>
      </c>
      <c r="D141" s="6">
        <v>40</v>
      </c>
      <c r="E141" s="6">
        <v>0</v>
      </c>
      <c r="F141" s="6">
        <v>6.6666666666666661</v>
      </c>
      <c r="G141" s="6">
        <v>1.3333333333333333</v>
      </c>
      <c r="H141" s="6">
        <v>1.3333333333333333</v>
      </c>
      <c r="I141" s="6">
        <v>0.45333333333333337</v>
      </c>
    </row>
    <row r="142" spans="1:9" x14ac:dyDescent="0.3">
      <c r="A142" t="s">
        <v>55</v>
      </c>
      <c r="B142" s="6">
        <v>30</v>
      </c>
      <c r="C142" s="6">
        <v>314.21052631578948</v>
      </c>
      <c r="D142" s="6">
        <v>26.666666666666664</v>
      </c>
      <c r="E142" s="6">
        <v>0.16666666666666669</v>
      </c>
      <c r="F142" s="6">
        <v>4.5</v>
      </c>
      <c r="G142" s="6">
        <v>1.8333333333333335</v>
      </c>
      <c r="H142" s="6">
        <v>0.16666666666666669</v>
      </c>
      <c r="I142" s="6">
        <v>1.1666666666666667</v>
      </c>
    </row>
    <row r="143" spans="1:9" x14ac:dyDescent="0.3">
      <c r="A143" t="s">
        <v>69</v>
      </c>
      <c r="B143" s="6">
        <v>10</v>
      </c>
      <c r="C143" s="6">
        <v>160.43478260869566</v>
      </c>
      <c r="D143" s="6">
        <v>10</v>
      </c>
      <c r="E143" s="6">
        <v>0</v>
      </c>
      <c r="F143" s="6">
        <v>0.66666666666666663</v>
      </c>
      <c r="G143" s="6">
        <v>0.66666666666666663</v>
      </c>
      <c r="H143" s="6">
        <v>0.66666666666666663</v>
      </c>
      <c r="I143" s="6">
        <v>0</v>
      </c>
    </row>
    <row r="144" spans="1:9" x14ac:dyDescent="0.3">
      <c r="A144" t="s">
        <v>52</v>
      </c>
      <c r="B144" s="6">
        <v>150</v>
      </c>
      <c r="C144" s="6">
        <v>883.5</v>
      </c>
      <c r="D144" s="6">
        <v>53.571428571428569</v>
      </c>
      <c r="E144" s="6">
        <v>0.6428571428571429</v>
      </c>
      <c r="F144" s="6">
        <v>5.7857142857142865</v>
      </c>
      <c r="G144" s="6">
        <v>3.6428571428571428</v>
      </c>
      <c r="H144" s="6">
        <v>4.9285714285714279</v>
      </c>
      <c r="I144" s="6">
        <v>0.42857142857142855</v>
      </c>
    </row>
    <row r="145" spans="1:9" x14ac:dyDescent="0.3">
      <c r="A145" t="s">
        <v>43</v>
      </c>
      <c r="B145" s="6">
        <v>28.944423722495397</v>
      </c>
      <c r="C145" s="6">
        <v>289.44423722495395</v>
      </c>
      <c r="D145" s="6">
        <v>19.296282481663596</v>
      </c>
      <c r="E145" s="6">
        <v>0.28944423722495399</v>
      </c>
      <c r="F145" s="6">
        <v>0.530647768245749</v>
      </c>
      <c r="G145" s="6">
        <v>0.83938828795236653</v>
      </c>
      <c r="H145" s="6">
        <v>0.9165734178790208</v>
      </c>
      <c r="I145" s="6">
        <v>0.16884247171455646</v>
      </c>
    </row>
    <row r="146" spans="1:9" x14ac:dyDescent="0.3">
      <c r="A146" t="s">
        <v>60</v>
      </c>
      <c r="B146" s="6">
        <v>300</v>
      </c>
      <c r="C146" s="6">
        <v>930</v>
      </c>
      <c r="D146" s="6">
        <v>54</v>
      </c>
      <c r="E146" s="6">
        <v>0.6</v>
      </c>
      <c r="F146" s="6">
        <v>8.1000000000000014</v>
      </c>
      <c r="G146" s="6">
        <v>2.7</v>
      </c>
      <c r="H146" s="6">
        <v>3.6</v>
      </c>
      <c r="I146" s="6">
        <v>1.5</v>
      </c>
    </row>
    <row r="147" spans="1:9" x14ac:dyDescent="0.3">
      <c r="C147" s="6">
        <v>10766.184615775199</v>
      </c>
      <c r="D147" s="6">
        <v>2000.0000000000007</v>
      </c>
      <c r="E147" s="6">
        <v>50.465634713415433</v>
      </c>
      <c r="F147" s="6">
        <v>237.16392515230595</v>
      </c>
      <c r="G147" s="6">
        <v>115.00000000000004</v>
      </c>
      <c r="H147" s="6">
        <v>22.120688797712393</v>
      </c>
      <c r="I147" s="6">
        <v>5.6240805669526521</v>
      </c>
    </row>
    <row r="150" spans="1:9" x14ac:dyDescent="0.3">
      <c r="A150" t="s">
        <v>190</v>
      </c>
    </row>
    <row r="151" spans="1:9" x14ac:dyDescent="0.3">
      <c r="A151" t="s">
        <v>10</v>
      </c>
      <c r="B151" t="s">
        <v>1</v>
      </c>
      <c r="C151" t="s">
        <v>176</v>
      </c>
      <c r="D151" t="s">
        <v>2</v>
      </c>
      <c r="E151" t="s">
        <v>4</v>
      </c>
      <c r="F151" t="s">
        <v>3</v>
      </c>
      <c r="G151" t="s">
        <v>175</v>
      </c>
      <c r="H151" t="s">
        <v>5</v>
      </c>
      <c r="I151" t="s">
        <v>6</v>
      </c>
    </row>
    <row r="152" spans="1:9" x14ac:dyDescent="0.3">
      <c r="A152" t="s">
        <v>45</v>
      </c>
      <c r="B152" s="6">
        <v>200</v>
      </c>
      <c r="C152" s="6">
        <v>1931.6666666666667</v>
      </c>
      <c r="D152" s="6">
        <v>310</v>
      </c>
      <c r="E152" s="6">
        <v>21.333333333333336</v>
      </c>
      <c r="F152" s="6">
        <v>2.333333333333333</v>
      </c>
      <c r="G152" s="6">
        <v>25</v>
      </c>
      <c r="H152" s="6">
        <v>0</v>
      </c>
      <c r="I152" s="6">
        <v>0.33333333333333337</v>
      </c>
    </row>
    <row r="153" spans="1:9" x14ac:dyDescent="0.3">
      <c r="A153" t="s">
        <v>39</v>
      </c>
      <c r="B153" s="6">
        <v>200</v>
      </c>
      <c r="C153" s="6">
        <v>486.66666666666663</v>
      </c>
      <c r="D153" s="6">
        <v>116.66666666666667</v>
      </c>
      <c r="E153" s="6">
        <v>5.833333333333333</v>
      </c>
      <c r="F153" s="6">
        <v>9.1666666666666661</v>
      </c>
      <c r="G153" s="6">
        <v>6.666666666666667</v>
      </c>
      <c r="H153" s="6">
        <v>0</v>
      </c>
      <c r="I153" s="6">
        <v>0.13333333333333333</v>
      </c>
    </row>
    <row r="154" spans="1:9" x14ac:dyDescent="0.3">
      <c r="A154" t="s">
        <v>118</v>
      </c>
      <c r="B154" s="6">
        <v>200</v>
      </c>
      <c r="C154" s="6">
        <v>3429.9999999999995</v>
      </c>
      <c r="D154" s="6">
        <v>344</v>
      </c>
      <c r="E154" s="6">
        <v>18.600000000000001</v>
      </c>
      <c r="F154" s="6">
        <v>0</v>
      </c>
      <c r="G154" s="6">
        <v>41.8</v>
      </c>
      <c r="H154" s="6">
        <v>0</v>
      </c>
      <c r="I154" s="6">
        <v>0.2</v>
      </c>
    </row>
    <row r="155" spans="1:9" x14ac:dyDescent="0.3">
      <c r="A155" t="s">
        <v>138</v>
      </c>
      <c r="B155" s="6">
        <v>200</v>
      </c>
      <c r="C155" s="6">
        <v>1116</v>
      </c>
      <c r="D155" s="6">
        <v>725</v>
      </c>
      <c r="E155" s="6">
        <v>2.5</v>
      </c>
      <c r="F155" s="6">
        <v>152.5</v>
      </c>
      <c r="G155" s="6">
        <v>22.5</v>
      </c>
      <c r="H155" s="6">
        <v>0</v>
      </c>
      <c r="I155" s="6">
        <v>0</v>
      </c>
    </row>
    <row r="156" spans="1:9" x14ac:dyDescent="0.3">
      <c r="A156" t="s">
        <v>49</v>
      </c>
      <c r="B156" s="6">
        <v>45</v>
      </c>
      <c r="C156" s="6">
        <v>209.00000000000003</v>
      </c>
      <c r="D156" s="6">
        <v>110.00000000000001</v>
      </c>
      <c r="E156" s="6">
        <v>1.5</v>
      </c>
      <c r="F156" s="6">
        <v>19</v>
      </c>
      <c r="G156" s="6">
        <v>4</v>
      </c>
      <c r="H156" s="6">
        <v>1</v>
      </c>
      <c r="I156" s="6">
        <v>0.22</v>
      </c>
    </row>
    <row r="157" spans="1:9" x14ac:dyDescent="0.3">
      <c r="A157" t="s">
        <v>40</v>
      </c>
      <c r="B157" s="6">
        <v>90.563063063063083</v>
      </c>
      <c r="C157" s="6">
        <v>325.12139639639645</v>
      </c>
      <c r="D157" s="6">
        <v>326.02702702702709</v>
      </c>
      <c r="E157" s="6">
        <v>0</v>
      </c>
      <c r="F157" s="6">
        <v>67.01666666666668</v>
      </c>
      <c r="G157" s="6">
        <v>7.245045045045047</v>
      </c>
      <c r="H157" s="6">
        <v>3.6225225225225235</v>
      </c>
      <c r="I157" s="6">
        <v>0</v>
      </c>
    </row>
    <row r="158" spans="1:9" x14ac:dyDescent="0.3">
      <c r="A158" t="s">
        <v>158</v>
      </c>
      <c r="B158" s="6">
        <v>49.47567567567571</v>
      </c>
      <c r="C158" s="6">
        <v>987.53448648648725</v>
      </c>
      <c r="D158" s="6">
        <v>54.972972972973011</v>
      </c>
      <c r="E158" s="6">
        <v>1.3743243243243253</v>
      </c>
      <c r="F158" s="6">
        <v>4.1229729729729758</v>
      </c>
      <c r="G158" s="6">
        <v>6.8716216216216264</v>
      </c>
      <c r="H158" s="6">
        <v>0</v>
      </c>
      <c r="I158" s="6">
        <v>0.93454054054054114</v>
      </c>
    </row>
    <row r="159" spans="1:9" x14ac:dyDescent="0.3">
      <c r="A159" t="s">
        <v>55</v>
      </c>
      <c r="B159" s="6">
        <v>15</v>
      </c>
      <c r="C159" s="6">
        <v>157.10526315789474</v>
      </c>
      <c r="D159" s="6">
        <v>13.333333333333332</v>
      </c>
      <c r="E159" s="6">
        <v>8.3333333333333343E-2</v>
      </c>
      <c r="F159" s="6">
        <v>2.25</v>
      </c>
      <c r="G159" s="6">
        <v>0.91666666666666674</v>
      </c>
      <c r="H159" s="6">
        <v>8.3333333333333343E-2</v>
      </c>
      <c r="I159" s="6">
        <v>0.58333333333333337</v>
      </c>
    </row>
    <row r="160" spans="1:9" x14ac:dyDescent="0.3">
      <c r="C160" s="6">
        <v>8643.094479374111</v>
      </c>
      <c r="D160" s="6">
        <v>2000</v>
      </c>
      <c r="E160" s="6">
        <v>51.224324324324328</v>
      </c>
      <c r="F160" s="6">
        <v>256.38963963963965</v>
      </c>
      <c r="G160" s="6">
        <v>115.00000000000001</v>
      </c>
      <c r="H160" s="6">
        <v>4.7058558558558561</v>
      </c>
      <c r="I160" s="6">
        <v>2.4045405405405411</v>
      </c>
    </row>
    <row r="162" spans="1:9" x14ac:dyDescent="0.3">
      <c r="A162" t="s">
        <v>191</v>
      </c>
    </row>
    <row r="163" spans="1:9" x14ac:dyDescent="0.3">
      <c r="A163" t="s">
        <v>10</v>
      </c>
      <c r="B163" t="s">
        <v>1</v>
      </c>
      <c r="C163" t="s">
        <v>176</v>
      </c>
      <c r="D163" t="s">
        <v>2</v>
      </c>
      <c r="E163" t="s">
        <v>4</v>
      </c>
      <c r="F163" t="s">
        <v>3</v>
      </c>
      <c r="G163" t="s">
        <v>175</v>
      </c>
      <c r="H163" t="s">
        <v>5</v>
      </c>
      <c r="I163" t="s">
        <v>6</v>
      </c>
    </row>
    <row r="164" spans="1:9" x14ac:dyDescent="0.3">
      <c r="A164" t="s">
        <v>45</v>
      </c>
      <c r="B164" s="6">
        <v>200</v>
      </c>
      <c r="C164" s="6">
        <v>1931.6666666666667</v>
      </c>
      <c r="D164" s="6">
        <v>310</v>
      </c>
      <c r="E164" s="6">
        <v>21.333333333333336</v>
      </c>
      <c r="F164" s="6">
        <v>2.333333333333333</v>
      </c>
      <c r="G164" s="6">
        <v>25</v>
      </c>
      <c r="H164" s="6">
        <v>0</v>
      </c>
      <c r="I164" s="6">
        <v>0.33333333333333337</v>
      </c>
    </row>
    <row r="165" spans="1:9" x14ac:dyDescent="0.3">
      <c r="A165" t="s">
        <v>39</v>
      </c>
      <c r="B165" s="6">
        <v>200</v>
      </c>
      <c r="C165" s="6">
        <v>486.66666666666663</v>
      </c>
      <c r="D165" s="6">
        <v>116.66666666666667</v>
      </c>
      <c r="E165" s="6">
        <v>5.833333333333333</v>
      </c>
      <c r="F165" s="6">
        <v>9.1666666666666661</v>
      </c>
      <c r="G165" s="6">
        <v>6.666666666666667</v>
      </c>
      <c r="H165" s="6">
        <v>0</v>
      </c>
      <c r="I165" s="6">
        <v>0.13333333333333333</v>
      </c>
    </row>
    <row r="166" spans="1:9" x14ac:dyDescent="0.3">
      <c r="A166" t="s">
        <v>118</v>
      </c>
      <c r="B166" s="6">
        <v>200</v>
      </c>
      <c r="C166" s="6">
        <v>3429.9999999999995</v>
      </c>
      <c r="D166" s="6">
        <v>344</v>
      </c>
      <c r="E166" s="6">
        <v>18.600000000000001</v>
      </c>
      <c r="F166" s="6">
        <v>0</v>
      </c>
      <c r="G166" s="6">
        <v>41.8</v>
      </c>
      <c r="H166" s="6">
        <v>0</v>
      </c>
      <c r="I166" s="6">
        <v>0.2</v>
      </c>
    </row>
    <row r="167" spans="1:9" x14ac:dyDescent="0.3">
      <c r="A167" t="s">
        <v>138</v>
      </c>
      <c r="B167" s="6">
        <v>200</v>
      </c>
      <c r="C167" s="6">
        <v>1116</v>
      </c>
      <c r="D167" s="6">
        <v>725</v>
      </c>
      <c r="E167" s="6">
        <v>2.5</v>
      </c>
      <c r="F167" s="6">
        <v>152.5</v>
      </c>
      <c r="G167" s="6">
        <v>22.5</v>
      </c>
      <c r="H167" s="6">
        <v>0</v>
      </c>
      <c r="I167" s="6">
        <v>0</v>
      </c>
    </row>
    <row r="168" spans="1:9" x14ac:dyDescent="0.3">
      <c r="A168" t="s">
        <v>49</v>
      </c>
      <c r="B168" s="6">
        <v>45</v>
      </c>
      <c r="C168" s="6">
        <v>209.00000000000003</v>
      </c>
      <c r="D168" s="6">
        <v>110.00000000000001</v>
      </c>
      <c r="E168" s="6">
        <v>1.5</v>
      </c>
      <c r="F168" s="6">
        <v>19</v>
      </c>
      <c r="G168" s="6">
        <v>4</v>
      </c>
      <c r="H168" s="6">
        <v>1</v>
      </c>
      <c r="I168" s="6">
        <v>0.22</v>
      </c>
    </row>
    <row r="169" spans="1:9" x14ac:dyDescent="0.3">
      <c r="A169" t="s">
        <v>40</v>
      </c>
      <c r="B169" s="6">
        <v>51.100323624595433</v>
      </c>
      <c r="C169" s="6">
        <v>183.45016181229761</v>
      </c>
      <c r="D169" s="6">
        <v>183.96116504854356</v>
      </c>
      <c r="E169" s="6">
        <v>0</v>
      </c>
      <c r="F169" s="6">
        <v>37.81423948220062</v>
      </c>
      <c r="G169" s="6">
        <v>4.0880258899676347</v>
      </c>
      <c r="H169" s="6">
        <v>2.0440129449838174</v>
      </c>
      <c r="I169" s="6">
        <v>0</v>
      </c>
    </row>
    <row r="170" spans="1:9" x14ac:dyDescent="0.3">
      <c r="A170" t="s">
        <v>158</v>
      </c>
      <c r="B170" s="6">
        <v>54</v>
      </c>
      <c r="C170" s="6">
        <v>1077.8400000000001</v>
      </c>
      <c r="D170" s="6">
        <v>60</v>
      </c>
      <c r="E170" s="6">
        <v>1.5</v>
      </c>
      <c r="F170" s="6">
        <v>4.5</v>
      </c>
      <c r="G170" s="6">
        <v>7.5</v>
      </c>
      <c r="H170" s="6">
        <v>0</v>
      </c>
      <c r="I170" s="6">
        <v>1.02</v>
      </c>
    </row>
    <row r="171" spans="1:9" x14ac:dyDescent="0.3">
      <c r="A171" t="s">
        <v>55</v>
      </c>
      <c r="B171" s="6">
        <v>30</v>
      </c>
      <c r="C171" s="6">
        <v>314.21052631578948</v>
      </c>
      <c r="D171" s="6">
        <v>26.666666666666664</v>
      </c>
      <c r="E171" s="6">
        <v>0.16666666666666669</v>
      </c>
      <c r="F171" s="6">
        <v>4.5</v>
      </c>
      <c r="G171" s="6">
        <v>1.8333333333333335</v>
      </c>
      <c r="H171" s="6">
        <v>0.16666666666666669</v>
      </c>
      <c r="I171" s="6">
        <v>1.1666666666666667</v>
      </c>
    </row>
    <row r="172" spans="1:9" x14ac:dyDescent="0.3">
      <c r="A172" t="s">
        <v>52</v>
      </c>
      <c r="B172" s="6">
        <v>66.375404530744731</v>
      </c>
      <c r="C172" s="6">
        <v>390.95113268608645</v>
      </c>
      <c r="D172" s="6">
        <v>23.705501618123119</v>
      </c>
      <c r="E172" s="6">
        <v>0.28446601941747746</v>
      </c>
      <c r="F172" s="6">
        <v>2.5601941747572972</v>
      </c>
      <c r="G172" s="6">
        <v>1.6119741100323721</v>
      </c>
      <c r="H172" s="6">
        <v>2.1809061488673267</v>
      </c>
      <c r="I172" s="6">
        <v>0.18964401294498495</v>
      </c>
    </row>
    <row r="173" spans="1:9" x14ac:dyDescent="0.3">
      <c r="C173" s="6">
        <v>9139.7851541475084</v>
      </c>
      <c r="D173" s="6">
        <v>1900.0000000000002</v>
      </c>
      <c r="E173" s="6">
        <v>51.717799352750809</v>
      </c>
      <c r="F173" s="6">
        <v>232.3744336569579</v>
      </c>
      <c r="G173" s="6">
        <v>115.00000000000001</v>
      </c>
      <c r="H173" s="6">
        <v>5.3915857605178106</v>
      </c>
      <c r="I173" s="6">
        <v>3.2629773462783183</v>
      </c>
    </row>
    <row r="175" spans="1:9" x14ac:dyDescent="0.3">
      <c r="A175" t="s">
        <v>192</v>
      </c>
    </row>
    <row r="176" spans="1:9" x14ac:dyDescent="0.3">
      <c r="A176" t="s">
        <v>10</v>
      </c>
      <c r="B176" t="s">
        <v>1</v>
      </c>
      <c r="C176" t="s">
        <v>176</v>
      </c>
      <c r="D176" t="s">
        <v>2</v>
      </c>
      <c r="E176" t="s">
        <v>4</v>
      </c>
      <c r="F176" t="s">
        <v>3</v>
      </c>
      <c r="G176" t="s">
        <v>175</v>
      </c>
      <c r="H176" t="s">
        <v>5</v>
      </c>
      <c r="I176" t="s">
        <v>6</v>
      </c>
    </row>
    <row r="177" spans="1:9" x14ac:dyDescent="0.3">
      <c r="A177" t="s">
        <v>45</v>
      </c>
      <c r="B177" s="6">
        <v>200</v>
      </c>
      <c r="C177" s="6">
        <v>1931.6666666666667</v>
      </c>
      <c r="D177" s="6">
        <v>310</v>
      </c>
      <c r="E177" s="6">
        <v>21.333333333333336</v>
      </c>
      <c r="F177" s="6">
        <v>2.333333333333333</v>
      </c>
      <c r="G177" s="6">
        <v>25</v>
      </c>
      <c r="H177" s="6">
        <v>0</v>
      </c>
      <c r="I177" s="6">
        <v>0.33333333333333337</v>
      </c>
    </row>
    <row r="178" spans="1:9" x14ac:dyDescent="0.3">
      <c r="A178" t="s">
        <v>118</v>
      </c>
      <c r="B178" s="6">
        <v>200</v>
      </c>
      <c r="C178" s="6">
        <v>3429.9999999999995</v>
      </c>
      <c r="D178" s="6">
        <v>344</v>
      </c>
      <c r="E178" s="6">
        <v>18.600000000000001</v>
      </c>
      <c r="F178" s="6">
        <v>0</v>
      </c>
      <c r="G178" s="6">
        <v>41.8</v>
      </c>
      <c r="H178" s="6">
        <v>0</v>
      </c>
      <c r="I178" s="6">
        <v>0.2</v>
      </c>
    </row>
    <row r="179" spans="1:9" x14ac:dyDescent="0.3">
      <c r="A179" t="s">
        <v>138</v>
      </c>
      <c r="B179" s="6">
        <v>200</v>
      </c>
      <c r="C179" s="6">
        <v>1116</v>
      </c>
      <c r="D179" s="6">
        <v>725</v>
      </c>
      <c r="E179" s="6">
        <v>2.5</v>
      </c>
      <c r="F179" s="6">
        <v>152.5</v>
      </c>
      <c r="G179" s="6">
        <v>22.5</v>
      </c>
      <c r="H179" s="6">
        <v>0</v>
      </c>
      <c r="I179" s="6">
        <v>0</v>
      </c>
    </row>
    <row r="180" spans="1:9" x14ac:dyDescent="0.3">
      <c r="A180" t="s">
        <v>49</v>
      </c>
      <c r="B180" s="6">
        <v>45</v>
      </c>
      <c r="C180" s="6">
        <v>209.00000000000003</v>
      </c>
      <c r="D180" s="6">
        <v>110.00000000000001</v>
      </c>
      <c r="E180" s="6">
        <v>1.5</v>
      </c>
      <c r="F180" s="6">
        <v>19</v>
      </c>
      <c r="G180" s="6">
        <v>4</v>
      </c>
      <c r="H180" s="6">
        <v>1</v>
      </c>
      <c r="I180" s="6">
        <v>0.22</v>
      </c>
    </row>
    <row r="181" spans="1:9" x14ac:dyDescent="0.3">
      <c r="A181" t="s">
        <v>40</v>
      </c>
      <c r="B181" s="6">
        <v>42.17145343777154</v>
      </c>
      <c r="C181" s="6">
        <v>151.39551784159983</v>
      </c>
      <c r="D181" s="6">
        <v>151.81723237597754</v>
      </c>
      <c r="E181" s="6">
        <v>0</v>
      </c>
      <c r="F181" s="6">
        <v>31.20687554395094</v>
      </c>
      <c r="G181" s="6">
        <v>3.3737162750217231</v>
      </c>
      <c r="H181" s="6">
        <v>1.6868581375108616</v>
      </c>
      <c r="I181" s="6">
        <v>0</v>
      </c>
    </row>
    <row r="182" spans="1:9" x14ac:dyDescent="0.3">
      <c r="A182" t="s">
        <v>158</v>
      </c>
      <c r="B182" s="6">
        <v>54</v>
      </c>
      <c r="C182" s="6">
        <v>1077.8400000000001</v>
      </c>
      <c r="D182" s="6">
        <v>60</v>
      </c>
      <c r="E182" s="6">
        <v>1.5</v>
      </c>
      <c r="F182" s="6">
        <v>4.5</v>
      </c>
      <c r="G182" s="6">
        <v>7.5</v>
      </c>
      <c r="H182" s="6">
        <v>0</v>
      </c>
      <c r="I182" s="6">
        <v>1.02</v>
      </c>
    </row>
    <row r="183" spans="1:9" x14ac:dyDescent="0.3">
      <c r="A183" t="s">
        <v>46</v>
      </c>
      <c r="B183" s="6">
        <v>40</v>
      </c>
      <c r="C183" s="6">
        <v>200</v>
      </c>
      <c r="D183" s="6">
        <v>40</v>
      </c>
      <c r="E183" s="6">
        <v>0</v>
      </c>
      <c r="F183" s="6">
        <v>6.6666666666666661</v>
      </c>
      <c r="G183" s="6">
        <v>1.3333333333333333</v>
      </c>
      <c r="H183" s="6">
        <v>1.3333333333333333</v>
      </c>
      <c r="I183" s="6">
        <v>0.45333333333333337</v>
      </c>
    </row>
    <row r="184" spans="1:9" x14ac:dyDescent="0.3">
      <c r="A184" t="s">
        <v>55</v>
      </c>
      <c r="B184" s="6">
        <v>30</v>
      </c>
      <c r="C184" s="6">
        <v>314.21052631578948</v>
      </c>
      <c r="D184" s="6">
        <v>26.666666666666664</v>
      </c>
      <c r="E184" s="6">
        <v>0.16666666666666669</v>
      </c>
      <c r="F184" s="6">
        <v>4.5</v>
      </c>
      <c r="G184" s="6">
        <v>1.8333333333333335</v>
      </c>
      <c r="H184" s="6">
        <v>0.16666666666666669</v>
      </c>
      <c r="I184" s="6">
        <v>1.1666666666666667</v>
      </c>
    </row>
    <row r="185" spans="1:9" x14ac:dyDescent="0.3">
      <c r="A185" t="s">
        <v>69</v>
      </c>
      <c r="B185" s="6">
        <v>10</v>
      </c>
      <c r="C185" s="6">
        <v>160.43478260869566</v>
      </c>
      <c r="D185" s="6">
        <v>10</v>
      </c>
      <c r="E185" s="6">
        <v>0</v>
      </c>
      <c r="F185" s="6">
        <v>0.66666666666666663</v>
      </c>
      <c r="G185" s="6">
        <v>0.66666666666666663</v>
      </c>
      <c r="H185" s="6">
        <v>0.66666666666666663</v>
      </c>
      <c r="I185" s="6">
        <v>0</v>
      </c>
    </row>
    <row r="186" spans="1:9" x14ac:dyDescent="0.3">
      <c r="A186" t="s">
        <v>52</v>
      </c>
      <c r="B186" s="6">
        <v>150</v>
      </c>
      <c r="C186" s="6">
        <v>883.5</v>
      </c>
      <c r="D186" s="6">
        <v>53.571428571428569</v>
      </c>
      <c r="E186" s="6">
        <v>0.6428571428571429</v>
      </c>
      <c r="F186" s="6">
        <v>5.7857142857142865</v>
      </c>
      <c r="G186" s="6">
        <v>3.6428571428571428</v>
      </c>
      <c r="H186" s="6">
        <v>4.9285714285714279</v>
      </c>
      <c r="I186" s="6">
        <v>0.42857142857142855</v>
      </c>
    </row>
    <row r="187" spans="1:9" x14ac:dyDescent="0.3">
      <c r="A187" t="s">
        <v>43</v>
      </c>
      <c r="B187" s="6">
        <v>22.417008578890972</v>
      </c>
      <c r="C187" s="6">
        <v>224.17008578890972</v>
      </c>
      <c r="D187" s="6">
        <v>14.944672385927314</v>
      </c>
      <c r="E187" s="6">
        <v>0.22417008578890973</v>
      </c>
      <c r="F187" s="6">
        <v>0.41097849061300112</v>
      </c>
      <c r="G187" s="6">
        <v>0.65009324878783825</v>
      </c>
      <c r="H187" s="6">
        <v>0.70987193833154738</v>
      </c>
      <c r="I187" s="6">
        <v>0.13076588337686398</v>
      </c>
    </row>
    <row r="188" spans="1:9" x14ac:dyDescent="0.3">
      <c r="A188" t="s">
        <v>60</v>
      </c>
      <c r="B188" s="6">
        <v>300</v>
      </c>
      <c r="C188" s="6">
        <v>930</v>
      </c>
      <c r="D188" s="6">
        <v>54</v>
      </c>
      <c r="E188" s="6">
        <v>0.6</v>
      </c>
      <c r="F188" s="6">
        <v>8.1000000000000014</v>
      </c>
      <c r="G188" s="6">
        <v>2.7</v>
      </c>
      <c r="H188" s="6">
        <v>3.6</v>
      </c>
      <c r="I188" s="6">
        <v>1.5</v>
      </c>
    </row>
    <row r="189" spans="1:9" x14ac:dyDescent="0.3">
      <c r="C189" s="6">
        <v>10628.217579221662</v>
      </c>
      <c r="D189" s="6">
        <v>1900.0000000000002</v>
      </c>
      <c r="E189" s="6">
        <v>47.067027228646062</v>
      </c>
      <c r="F189" s="6">
        <v>235.67023498694485</v>
      </c>
      <c r="G189" s="6">
        <v>115.00000000000003</v>
      </c>
      <c r="H189" s="6">
        <v>14.091968171080502</v>
      </c>
      <c r="I189" s="6">
        <v>5.4526706452816258</v>
      </c>
    </row>
    <row r="191" spans="1:9" x14ac:dyDescent="0.3">
      <c r="A191" t="s">
        <v>193</v>
      </c>
    </row>
    <row r="192" spans="1:9" x14ac:dyDescent="0.3">
      <c r="A192" t="s">
        <v>10</v>
      </c>
      <c r="B192" t="s">
        <v>1</v>
      </c>
      <c r="C192" t="s">
        <v>176</v>
      </c>
      <c r="D192" t="s">
        <v>2</v>
      </c>
      <c r="E192" t="s">
        <v>4</v>
      </c>
      <c r="F192" t="s">
        <v>3</v>
      </c>
      <c r="G192" t="s">
        <v>175</v>
      </c>
      <c r="H192" t="s">
        <v>5</v>
      </c>
      <c r="I192" t="s">
        <v>6</v>
      </c>
    </row>
    <row r="193" spans="1:9" x14ac:dyDescent="0.3">
      <c r="A193" t="s">
        <v>45</v>
      </c>
      <c r="B193" s="6">
        <v>200</v>
      </c>
      <c r="C193" s="6">
        <v>1931.6666666666667</v>
      </c>
      <c r="D193" s="6">
        <v>310</v>
      </c>
      <c r="E193" s="6">
        <v>21.333333333333336</v>
      </c>
      <c r="F193" s="6">
        <v>2.333333333333333</v>
      </c>
      <c r="G193" s="6">
        <v>25</v>
      </c>
      <c r="H193" s="6">
        <v>0</v>
      </c>
      <c r="I193" s="6">
        <v>0.33333333333333337</v>
      </c>
    </row>
    <row r="194" spans="1:9" x14ac:dyDescent="0.3">
      <c r="A194" t="s">
        <v>39</v>
      </c>
      <c r="B194" s="6">
        <v>100</v>
      </c>
      <c r="C194" s="6">
        <v>243.33333333333331</v>
      </c>
      <c r="D194" s="6">
        <v>58.333333333333336</v>
      </c>
      <c r="E194" s="6">
        <v>2.9166666666666665</v>
      </c>
      <c r="F194" s="6">
        <v>4.583333333333333</v>
      </c>
      <c r="G194" s="6">
        <v>3.3333333333333335</v>
      </c>
      <c r="H194" s="6">
        <v>0</v>
      </c>
      <c r="I194" s="6">
        <v>6.6666666666666666E-2</v>
      </c>
    </row>
    <row r="195" spans="1:9" x14ac:dyDescent="0.3">
      <c r="A195" t="s">
        <v>118</v>
      </c>
      <c r="B195" s="6">
        <v>200</v>
      </c>
      <c r="C195" s="6">
        <v>3429.9999999999995</v>
      </c>
      <c r="D195" s="6">
        <v>344</v>
      </c>
      <c r="E195" s="6">
        <v>18.600000000000001</v>
      </c>
      <c r="F195" s="6">
        <v>0</v>
      </c>
      <c r="G195" s="6">
        <v>41.8</v>
      </c>
      <c r="H195" s="6">
        <v>0</v>
      </c>
      <c r="I195" s="6">
        <v>0.2</v>
      </c>
    </row>
    <row r="196" spans="1:9" x14ac:dyDescent="0.3">
      <c r="A196" t="s">
        <v>49</v>
      </c>
      <c r="B196" s="6">
        <v>45</v>
      </c>
      <c r="C196" s="6">
        <v>209.00000000000003</v>
      </c>
      <c r="D196" s="6">
        <v>110.00000000000001</v>
      </c>
      <c r="E196" s="6">
        <v>1.5</v>
      </c>
      <c r="F196" s="6">
        <v>19</v>
      </c>
      <c r="G196" s="6">
        <v>4</v>
      </c>
      <c r="H196" s="6">
        <v>1</v>
      </c>
      <c r="I196" s="6">
        <v>0.22</v>
      </c>
    </row>
    <row r="197" spans="1:9" x14ac:dyDescent="0.3">
      <c r="A197" t="s">
        <v>40</v>
      </c>
      <c r="B197" s="6">
        <v>164.80952380952354</v>
      </c>
      <c r="C197" s="6">
        <v>591.66619047618951</v>
      </c>
      <c r="D197" s="6">
        <v>593.31428571428478</v>
      </c>
      <c r="E197" s="6">
        <v>0</v>
      </c>
      <c r="F197" s="6">
        <v>121.95904761904742</v>
      </c>
      <c r="G197" s="6">
        <v>13.184761904761883</v>
      </c>
      <c r="H197" s="6">
        <v>6.5923809523809416</v>
      </c>
      <c r="I197" s="6">
        <v>0</v>
      </c>
    </row>
    <row r="198" spans="1:9" x14ac:dyDescent="0.3">
      <c r="A198" t="s">
        <v>159</v>
      </c>
      <c r="B198" s="6">
        <v>80</v>
      </c>
      <c r="C198" s="6">
        <v>420</v>
      </c>
      <c r="D198" s="6">
        <v>180</v>
      </c>
      <c r="E198" s="6">
        <v>6</v>
      </c>
      <c r="F198" s="6">
        <v>24</v>
      </c>
      <c r="G198" s="6">
        <v>4</v>
      </c>
      <c r="H198" s="6">
        <v>4</v>
      </c>
      <c r="I198" s="6">
        <v>0.19</v>
      </c>
    </row>
    <row r="199" spans="1:9" x14ac:dyDescent="0.3">
      <c r="A199" t="s">
        <v>158</v>
      </c>
      <c r="B199" s="6">
        <v>54</v>
      </c>
      <c r="C199" s="6">
        <v>1077.8400000000001</v>
      </c>
      <c r="D199" s="6">
        <v>60</v>
      </c>
      <c r="E199" s="6">
        <v>1.5</v>
      </c>
      <c r="F199" s="6">
        <v>4.5</v>
      </c>
      <c r="G199" s="6">
        <v>7.5</v>
      </c>
      <c r="H199" s="6">
        <v>0</v>
      </c>
      <c r="I199" s="6">
        <v>1.02</v>
      </c>
    </row>
    <row r="200" spans="1:9" x14ac:dyDescent="0.3">
      <c r="A200" t="s">
        <v>148</v>
      </c>
      <c r="B200" s="6">
        <v>50</v>
      </c>
      <c r="C200" s="6">
        <v>998</v>
      </c>
      <c r="D200" s="6">
        <v>80</v>
      </c>
      <c r="E200" s="6">
        <v>5</v>
      </c>
      <c r="F200" s="6">
        <v>2</v>
      </c>
      <c r="G200" s="6">
        <v>7.0000000000000009</v>
      </c>
      <c r="H200" s="6">
        <v>0</v>
      </c>
      <c r="I200" s="6">
        <v>0.5</v>
      </c>
    </row>
    <row r="201" spans="1:9" x14ac:dyDescent="0.3">
      <c r="A201" t="s">
        <v>46</v>
      </c>
      <c r="B201" s="6">
        <v>40</v>
      </c>
      <c r="C201" s="6">
        <v>200</v>
      </c>
      <c r="D201" s="6">
        <v>40</v>
      </c>
      <c r="E201" s="6">
        <v>0</v>
      </c>
      <c r="F201" s="6">
        <v>6.6666666666666661</v>
      </c>
      <c r="G201" s="6">
        <v>1.3333333333333333</v>
      </c>
      <c r="H201" s="6">
        <v>1.3333333333333333</v>
      </c>
      <c r="I201" s="6">
        <v>0.45333333333333337</v>
      </c>
    </row>
    <row r="202" spans="1:9" x14ac:dyDescent="0.3">
      <c r="A202" t="s">
        <v>55</v>
      </c>
      <c r="B202" s="6">
        <v>30</v>
      </c>
      <c r="C202" s="6">
        <v>314.21052631578948</v>
      </c>
      <c r="D202" s="6">
        <v>26.666666666666664</v>
      </c>
      <c r="E202" s="6">
        <v>0.16666666666666669</v>
      </c>
      <c r="F202" s="6">
        <v>4.5</v>
      </c>
      <c r="G202" s="6">
        <v>1.8333333333333335</v>
      </c>
      <c r="H202" s="6">
        <v>0.16666666666666669</v>
      </c>
      <c r="I202" s="6">
        <v>1.1666666666666667</v>
      </c>
    </row>
    <row r="203" spans="1:9" x14ac:dyDescent="0.3">
      <c r="A203" t="s">
        <v>69</v>
      </c>
      <c r="B203" s="6">
        <v>10</v>
      </c>
      <c r="C203" s="6">
        <v>160.43478260869566</v>
      </c>
      <c r="D203" s="6">
        <v>10</v>
      </c>
      <c r="E203" s="6">
        <v>0</v>
      </c>
      <c r="F203" s="6">
        <v>0.66666666666666663</v>
      </c>
      <c r="G203" s="6">
        <v>0.66666666666666663</v>
      </c>
      <c r="H203" s="6">
        <v>0.66666666666666663</v>
      </c>
      <c r="I203" s="6">
        <v>0</v>
      </c>
    </row>
    <row r="204" spans="1:9" x14ac:dyDescent="0.3">
      <c r="A204" t="s">
        <v>52</v>
      </c>
      <c r="B204" s="6">
        <v>150</v>
      </c>
      <c r="C204" s="6">
        <v>883.5</v>
      </c>
      <c r="D204" s="6">
        <v>53.571428571428569</v>
      </c>
      <c r="E204" s="6">
        <v>0.6428571428571429</v>
      </c>
      <c r="F204" s="6">
        <v>5.7857142857142865</v>
      </c>
      <c r="G204" s="6">
        <v>3.6428571428571428</v>
      </c>
      <c r="H204" s="6">
        <v>4.9285714285714279</v>
      </c>
      <c r="I204" s="6">
        <v>0.42857142857142855</v>
      </c>
    </row>
    <row r="205" spans="1:9" x14ac:dyDescent="0.3">
      <c r="A205" t="s">
        <v>60</v>
      </c>
      <c r="B205" s="6">
        <v>189.52380952381603</v>
      </c>
      <c r="C205" s="6">
        <v>587.52380952382975</v>
      </c>
      <c r="D205" s="6">
        <v>34.114285714286886</v>
      </c>
      <c r="E205" s="6">
        <v>0.37904761904763207</v>
      </c>
      <c r="F205" s="6">
        <v>5.1171428571430333</v>
      </c>
      <c r="G205" s="6">
        <v>1.7057142857143444</v>
      </c>
      <c r="H205" s="6">
        <v>2.2742857142857922</v>
      </c>
      <c r="I205" s="6">
        <v>0.94761904761908011</v>
      </c>
    </row>
    <row r="206" spans="1:9" x14ac:dyDescent="0.3">
      <c r="C206" s="6">
        <v>11047.175308924505</v>
      </c>
      <c r="D206" s="6">
        <v>1900.0000000000002</v>
      </c>
      <c r="E206" s="6">
        <v>58.038571428571451</v>
      </c>
      <c r="F206" s="6">
        <v>201.1119047619047</v>
      </c>
      <c r="G206" s="6">
        <v>115.00000000000003</v>
      </c>
      <c r="H206" s="6">
        <v>20.96190476190483</v>
      </c>
      <c r="I206" s="6">
        <v>5.526190476190509</v>
      </c>
    </row>
    <row r="208" spans="1:9" x14ac:dyDescent="0.3">
      <c r="A208" t="s">
        <v>194</v>
      </c>
    </row>
    <row r="209" spans="1:9" x14ac:dyDescent="0.3">
      <c r="A209" t="s">
        <v>10</v>
      </c>
      <c r="B209" t="s">
        <v>1</v>
      </c>
      <c r="C209" t="s">
        <v>176</v>
      </c>
      <c r="D209" t="s">
        <v>2</v>
      </c>
      <c r="E209" t="s">
        <v>4</v>
      </c>
      <c r="F209" t="s">
        <v>3</v>
      </c>
      <c r="G209" t="s">
        <v>175</v>
      </c>
      <c r="H209" t="s">
        <v>5</v>
      </c>
      <c r="I209" t="s">
        <v>6</v>
      </c>
    </row>
    <row r="210" spans="1:9" x14ac:dyDescent="0.3">
      <c r="A210" t="s">
        <v>45</v>
      </c>
      <c r="B210" s="6">
        <v>200</v>
      </c>
      <c r="C210" s="6">
        <v>1931.6666666666667</v>
      </c>
      <c r="D210" s="6">
        <v>310</v>
      </c>
      <c r="E210" s="6">
        <v>21.333333333333336</v>
      </c>
      <c r="F210" s="6">
        <v>2.333333333333333</v>
      </c>
      <c r="G210" s="6">
        <v>25</v>
      </c>
      <c r="H210" s="6">
        <v>0</v>
      </c>
      <c r="I210" s="6">
        <v>0.33333333333333337</v>
      </c>
    </row>
    <row r="211" spans="1:9" x14ac:dyDescent="0.3">
      <c r="A211" t="s">
        <v>39</v>
      </c>
      <c r="B211" s="6">
        <v>100</v>
      </c>
      <c r="C211" s="6">
        <v>243.33333333333331</v>
      </c>
      <c r="D211" s="6">
        <v>58.333333333333336</v>
      </c>
      <c r="E211" s="6">
        <v>2.9166666666666665</v>
      </c>
      <c r="F211" s="6">
        <v>4.583333333333333</v>
      </c>
      <c r="G211" s="6">
        <v>3.3333333333333335</v>
      </c>
      <c r="H211" s="6">
        <v>0</v>
      </c>
      <c r="I211" s="6">
        <v>6.6666666666666666E-2</v>
      </c>
    </row>
    <row r="212" spans="1:9" x14ac:dyDescent="0.3">
      <c r="A212" t="s">
        <v>118</v>
      </c>
      <c r="B212" s="6">
        <v>200</v>
      </c>
      <c r="C212" s="6">
        <v>3429.9999999999995</v>
      </c>
      <c r="D212" s="6">
        <v>344</v>
      </c>
      <c r="E212" s="6">
        <v>18.600000000000001</v>
      </c>
      <c r="F212" s="6">
        <v>0</v>
      </c>
      <c r="G212" s="6">
        <v>41.8</v>
      </c>
      <c r="H212" s="6">
        <v>0</v>
      </c>
      <c r="I212" s="6">
        <v>0.2</v>
      </c>
    </row>
    <row r="213" spans="1:9" x14ac:dyDescent="0.3">
      <c r="A213" t="s">
        <v>49</v>
      </c>
      <c r="B213" s="6">
        <v>45</v>
      </c>
      <c r="C213" s="6">
        <v>209.00000000000003</v>
      </c>
      <c r="D213" s="6">
        <v>110.00000000000001</v>
      </c>
      <c r="E213" s="6">
        <v>1.5</v>
      </c>
      <c r="F213" s="6">
        <v>19</v>
      </c>
      <c r="G213" s="6">
        <v>4</v>
      </c>
      <c r="H213" s="6">
        <v>1</v>
      </c>
      <c r="I213" s="6">
        <v>0.22</v>
      </c>
    </row>
    <row r="214" spans="1:9" x14ac:dyDescent="0.3">
      <c r="A214" t="s">
        <v>40</v>
      </c>
      <c r="B214" s="6">
        <v>183.7411347517731</v>
      </c>
      <c r="C214" s="6">
        <v>659.63067375886544</v>
      </c>
      <c r="D214" s="6">
        <v>661.46808510638323</v>
      </c>
      <c r="E214" s="6">
        <v>0</v>
      </c>
      <c r="F214" s="6">
        <v>135.9684397163121</v>
      </c>
      <c r="G214" s="6">
        <v>14.699290780141849</v>
      </c>
      <c r="H214" s="6">
        <v>7.3496453900709247</v>
      </c>
      <c r="I214" s="6">
        <v>0</v>
      </c>
    </row>
    <row r="215" spans="1:9" x14ac:dyDescent="0.3">
      <c r="A215" t="s">
        <v>169</v>
      </c>
      <c r="B215" s="6">
        <v>50</v>
      </c>
      <c r="C215" s="6">
        <v>848.75000000000011</v>
      </c>
      <c r="D215" s="6">
        <v>120</v>
      </c>
      <c r="E215" s="6">
        <v>10</v>
      </c>
      <c r="F215" s="6">
        <v>1</v>
      </c>
      <c r="G215" s="6">
        <v>10</v>
      </c>
      <c r="H215" s="6">
        <v>0</v>
      </c>
      <c r="I215" s="6">
        <v>0.27</v>
      </c>
    </row>
    <row r="216" spans="1:9" x14ac:dyDescent="0.3">
      <c r="A216" t="s">
        <v>159</v>
      </c>
      <c r="B216" s="6">
        <v>80</v>
      </c>
      <c r="C216" s="6">
        <v>420</v>
      </c>
      <c r="D216" s="6">
        <v>180</v>
      </c>
      <c r="E216" s="6">
        <v>6</v>
      </c>
      <c r="F216" s="6">
        <v>24</v>
      </c>
      <c r="G216" s="6">
        <v>4</v>
      </c>
      <c r="H216" s="6">
        <v>4</v>
      </c>
      <c r="I216" s="6">
        <v>0.19</v>
      </c>
    </row>
    <row r="217" spans="1:9" x14ac:dyDescent="0.3">
      <c r="A217" t="s">
        <v>158</v>
      </c>
      <c r="B217" s="6">
        <v>54</v>
      </c>
      <c r="C217" s="6">
        <v>1077.8400000000001</v>
      </c>
      <c r="D217" s="6">
        <v>60</v>
      </c>
      <c r="E217" s="6">
        <v>1.5</v>
      </c>
      <c r="F217" s="6">
        <v>4.5</v>
      </c>
      <c r="G217" s="6">
        <v>7.5</v>
      </c>
      <c r="H217" s="6">
        <v>0</v>
      </c>
      <c r="I217" s="6">
        <v>1.02</v>
      </c>
    </row>
    <row r="218" spans="1:9" x14ac:dyDescent="0.3">
      <c r="A218" t="s">
        <v>148</v>
      </c>
      <c r="B218" s="6">
        <v>26.79078014184406</v>
      </c>
      <c r="C218" s="6">
        <v>534.7439716312075</v>
      </c>
      <c r="D218" s="6">
        <v>42.865248226950499</v>
      </c>
      <c r="E218" s="6">
        <v>2.6790780141844062</v>
      </c>
      <c r="F218" s="6">
        <v>1.0716312056737625</v>
      </c>
      <c r="G218" s="6">
        <v>3.7507092198581686</v>
      </c>
      <c r="H218" s="6">
        <v>0</v>
      </c>
      <c r="I218" s="6">
        <v>0.26790780141844062</v>
      </c>
    </row>
    <row r="219" spans="1:9" x14ac:dyDescent="0.3">
      <c r="A219" t="s">
        <v>55</v>
      </c>
      <c r="B219" s="6">
        <v>15</v>
      </c>
      <c r="C219" s="6">
        <v>157.10526315789474</v>
      </c>
      <c r="D219" s="6">
        <v>13.333333333333332</v>
      </c>
      <c r="E219" s="6">
        <v>8.3333333333333343E-2</v>
      </c>
      <c r="F219" s="6">
        <v>2.25</v>
      </c>
      <c r="G219" s="6">
        <v>0.91666666666666674</v>
      </c>
      <c r="H219" s="6">
        <v>8.3333333333333343E-2</v>
      </c>
      <c r="I219" s="6">
        <v>0.58333333333333337</v>
      </c>
    </row>
    <row r="220" spans="1:9" x14ac:dyDescent="0.3">
      <c r="C220" s="6">
        <v>9512.0699085479682</v>
      </c>
      <c r="D220" s="6">
        <v>1900.0000000000005</v>
      </c>
      <c r="E220" s="6">
        <v>64.61241134751775</v>
      </c>
      <c r="F220" s="6">
        <v>194.70673758865252</v>
      </c>
      <c r="G220" s="6">
        <v>115.00000000000001</v>
      </c>
      <c r="H220" s="6">
        <v>12.432978723404259</v>
      </c>
      <c r="I220" s="6">
        <v>3.1512411347517739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DF2A-6613-489A-BAE2-0E0C2C01DA5F}">
  <sheetPr codeName="Hoja9"/>
  <dimension ref="A1:Q98"/>
  <sheetViews>
    <sheetView workbookViewId="0">
      <selection activeCell="H6" sqref="H6"/>
    </sheetView>
  </sheetViews>
  <sheetFormatPr defaultColWidth="11.5546875" defaultRowHeight="14.4" x14ac:dyDescent="0.3"/>
  <cols>
    <col min="1" max="1" width="12.6640625" bestFit="1" customWidth="1"/>
  </cols>
  <sheetData>
    <row r="1" spans="1:16" x14ac:dyDescent="0.3">
      <c r="A1" s="1" t="s">
        <v>197</v>
      </c>
      <c r="D1" s="1" t="s">
        <v>199</v>
      </c>
      <c r="G1" s="1" t="s">
        <v>200</v>
      </c>
      <c r="J1" s="1" t="s">
        <v>201</v>
      </c>
    </row>
    <row r="2" spans="1:16" x14ac:dyDescent="0.3">
      <c r="A2" s="1" t="s">
        <v>79</v>
      </c>
      <c r="D2" s="1" t="s">
        <v>79</v>
      </c>
      <c r="G2" s="1" t="s">
        <v>79</v>
      </c>
      <c r="J2" s="1" t="s">
        <v>79</v>
      </c>
    </row>
    <row r="3" spans="1:16" x14ac:dyDescent="0.3">
      <c r="A3" t="s">
        <v>45</v>
      </c>
      <c r="B3">
        <v>100</v>
      </c>
      <c r="D3" t="s">
        <v>45</v>
      </c>
      <c r="E3">
        <v>100</v>
      </c>
      <c r="G3" t="s">
        <v>45</v>
      </c>
      <c r="H3">
        <v>100</v>
      </c>
      <c r="J3" t="s">
        <v>45</v>
      </c>
      <c r="K3">
        <v>100</v>
      </c>
    </row>
    <row r="4" spans="1:16" x14ac:dyDescent="0.3">
      <c r="A4" t="s">
        <v>39</v>
      </c>
      <c r="B4">
        <v>200</v>
      </c>
      <c r="D4" t="s">
        <v>39</v>
      </c>
      <c r="E4">
        <v>200</v>
      </c>
      <c r="G4" t="s">
        <v>39</v>
      </c>
      <c r="H4">
        <v>100</v>
      </c>
      <c r="J4" t="s">
        <v>39</v>
      </c>
      <c r="K4">
        <v>100</v>
      </c>
      <c r="L4" s="6"/>
      <c r="M4" s="6"/>
      <c r="N4" s="6"/>
      <c r="O4" s="6"/>
      <c r="P4" s="6"/>
    </row>
    <row r="5" spans="1:16" x14ac:dyDescent="0.3">
      <c r="A5" t="s">
        <v>49</v>
      </c>
      <c r="B5">
        <v>22.5</v>
      </c>
      <c r="D5" t="s">
        <v>49</v>
      </c>
      <c r="E5">
        <v>22.5</v>
      </c>
      <c r="G5" t="s">
        <v>49</v>
      </c>
      <c r="H5">
        <v>22.5</v>
      </c>
      <c r="J5" t="s">
        <v>49</v>
      </c>
      <c r="K5">
        <v>22.5</v>
      </c>
      <c r="L5" s="6"/>
      <c r="M5" s="6"/>
      <c r="N5" s="6"/>
      <c r="O5" s="6"/>
      <c r="P5" s="6"/>
    </row>
    <row r="6" spans="1:16" x14ac:dyDescent="0.3">
      <c r="A6" t="s">
        <v>69</v>
      </c>
      <c r="B6" s="2">
        <v>10</v>
      </c>
      <c r="G6" t="s">
        <v>169</v>
      </c>
      <c r="H6">
        <v>25</v>
      </c>
      <c r="J6" t="s">
        <v>169</v>
      </c>
      <c r="K6">
        <v>25</v>
      </c>
      <c r="L6" s="6"/>
      <c r="M6" s="6"/>
      <c r="N6" s="6"/>
      <c r="O6" s="6"/>
      <c r="P6" s="6"/>
    </row>
    <row r="7" spans="1:16" x14ac:dyDescent="0.3">
      <c r="L7" s="6"/>
      <c r="M7" s="6"/>
      <c r="N7" s="6"/>
      <c r="O7" s="6"/>
      <c r="P7" s="6"/>
    </row>
    <row r="8" spans="1:16" x14ac:dyDescent="0.3">
      <c r="A8" s="1" t="s">
        <v>80</v>
      </c>
      <c r="D8" s="1" t="s">
        <v>80</v>
      </c>
      <c r="G8" s="1" t="s">
        <v>80</v>
      </c>
      <c r="J8" s="1" t="s">
        <v>80</v>
      </c>
      <c r="L8" s="6"/>
      <c r="M8" s="6"/>
      <c r="N8" s="6"/>
      <c r="O8" s="6"/>
      <c r="P8" s="6"/>
    </row>
    <row r="9" spans="1:16" x14ac:dyDescent="0.3">
      <c r="A9" t="s">
        <v>118</v>
      </c>
      <c r="B9">
        <v>100</v>
      </c>
      <c r="D9" t="s">
        <v>118</v>
      </c>
      <c r="E9">
        <v>100</v>
      </c>
      <c r="G9" t="s">
        <v>118</v>
      </c>
      <c r="H9">
        <v>100</v>
      </c>
      <c r="J9" t="s">
        <v>118</v>
      </c>
      <c r="K9">
        <v>100</v>
      </c>
      <c r="L9" s="6"/>
      <c r="M9" s="6"/>
      <c r="N9" s="6"/>
      <c r="O9" s="6"/>
      <c r="P9" s="6"/>
    </row>
    <row r="10" spans="1:16" x14ac:dyDescent="0.3">
      <c r="A10" t="s">
        <v>138</v>
      </c>
      <c r="B10">
        <v>150</v>
      </c>
      <c r="D10" t="s">
        <v>138</v>
      </c>
      <c r="E10">
        <v>150</v>
      </c>
      <c r="G10" t="s">
        <v>40</v>
      </c>
      <c r="H10">
        <v>150</v>
      </c>
      <c r="J10" t="s">
        <v>40</v>
      </c>
      <c r="K10">
        <v>150</v>
      </c>
      <c r="L10" s="6"/>
      <c r="M10" s="6"/>
      <c r="N10" s="6"/>
      <c r="O10" s="6"/>
      <c r="P10" s="6"/>
    </row>
    <row r="11" spans="1:16" x14ac:dyDescent="0.3">
      <c r="A11" t="s">
        <v>169</v>
      </c>
      <c r="B11">
        <v>25</v>
      </c>
      <c r="D11" t="s">
        <v>169</v>
      </c>
      <c r="E11">
        <v>25</v>
      </c>
      <c r="G11" t="s">
        <v>45</v>
      </c>
      <c r="H11">
        <v>100</v>
      </c>
      <c r="J11" t="s">
        <v>45</v>
      </c>
      <c r="K11">
        <v>100</v>
      </c>
      <c r="L11" s="6"/>
      <c r="M11" s="6"/>
      <c r="N11" s="6"/>
      <c r="O11" s="6"/>
      <c r="P11" s="6"/>
    </row>
    <row r="12" spans="1:16" x14ac:dyDescent="0.3">
      <c r="A12" t="s">
        <v>55</v>
      </c>
      <c r="B12">
        <v>15</v>
      </c>
      <c r="D12" t="s">
        <v>55</v>
      </c>
      <c r="E12">
        <v>15</v>
      </c>
      <c r="G12" t="s">
        <v>169</v>
      </c>
      <c r="H12">
        <v>50</v>
      </c>
      <c r="J12" t="s">
        <v>169</v>
      </c>
      <c r="K12">
        <v>50</v>
      </c>
    </row>
    <row r="13" spans="1:16" x14ac:dyDescent="0.3">
      <c r="G13" t="s">
        <v>55</v>
      </c>
      <c r="H13">
        <v>15</v>
      </c>
      <c r="J13" t="s">
        <v>55</v>
      </c>
      <c r="K13">
        <v>15</v>
      </c>
    </row>
    <row r="15" spans="1:16" x14ac:dyDescent="0.3">
      <c r="A15" s="1" t="s">
        <v>81</v>
      </c>
      <c r="D15" s="1" t="s">
        <v>81</v>
      </c>
      <c r="G15" s="1" t="s">
        <v>81</v>
      </c>
      <c r="J15" s="1" t="s">
        <v>81</v>
      </c>
    </row>
    <row r="16" spans="1:16" x14ac:dyDescent="0.3">
      <c r="A16" t="s">
        <v>45</v>
      </c>
      <c r="B16">
        <v>100</v>
      </c>
      <c r="D16" t="s">
        <v>45</v>
      </c>
      <c r="E16">
        <v>100</v>
      </c>
      <c r="G16" t="s">
        <v>118</v>
      </c>
      <c r="H16">
        <v>100</v>
      </c>
      <c r="J16" t="s">
        <v>118</v>
      </c>
      <c r="K16">
        <v>100</v>
      </c>
    </row>
    <row r="17" spans="1:11" x14ac:dyDescent="0.3">
      <c r="A17" t="s">
        <v>118</v>
      </c>
      <c r="B17">
        <v>100</v>
      </c>
      <c r="D17" t="s">
        <v>118</v>
      </c>
      <c r="E17">
        <v>100</v>
      </c>
      <c r="G17" t="s">
        <v>39</v>
      </c>
      <c r="H17">
        <v>100</v>
      </c>
      <c r="J17" t="s">
        <v>39</v>
      </c>
      <c r="K17">
        <v>100</v>
      </c>
    </row>
    <row r="18" spans="1:11" x14ac:dyDescent="0.3">
      <c r="A18" t="s">
        <v>138</v>
      </c>
      <c r="B18">
        <v>100</v>
      </c>
      <c r="D18" t="s">
        <v>138</v>
      </c>
      <c r="E18">
        <v>100</v>
      </c>
      <c r="G18" t="s">
        <v>49</v>
      </c>
      <c r="H18">
        <v>22.5</v>
      </c>
      <c r="J18" t="s">
        <v>49</v>
      </c>
      <c r="K18">
        <v>22.5</v>
      </c>
    </row>
    <row r="19" spans="1:11" x14ac:dyDescent="0.3">
      <c r="A19" t="s">
        <v>198</v>
      </c>
      <c r="B19">
        <v>25</v>
      </c>
      <c r="D19" t="s">
        <v>198</v>
      </c>
      <c r="E19">
        <v>25</v>
      </c>
      <c r="G19" t="s">
        <v>40</v>
      </c>
      <c r="H19">
        <v>65</v>
      </c>
      <c r="J19" t="s">
        <v>40</v>
      </c>
      <c r="K19">
        <v>65</v>
      </c>
    </row>
    <row r="20" spans="1:11" x14ac:dyDescent="0.3">
      <c r="A20" t="s">
        <v>49</v>
      </c>
      <c r="B20">
        <v>22.5</v>
      </c>
      <c r="D20" t="s">
        <v>49</v>
      </c>
      <c r="E20">
        <v>22.5</v>
      </c>
      <c r="G20" t="s">
        <v>169</v>
      </c>
      <c r="H20">
        <v>25</v>
      </c>
      <c r="J20" t="s">
        <v>169</v>
      </c>
      <c r="K20">
        <v>25</v>
      </c>
    </row>
    <row r="22" spans="1:11" x14ac:dyDescent="0.3">
      <c r="A22" s="1" t="s">
        <v>2</v>
      </c>
      <c r="B22" s="24"/>
      <c r="C22" s="1"/>
      <c r="D22" s="1" t="s">
        <v>2</v>
      </c>
      <c r="E22" s="24"/>
      <c r="F22" s="1"/>
      <c r="G22" s="1" t="s">
        <v>2</v>
      </c>
      <c r="H22" s="24"/>
      <c r="I22" s="1"/>
      <c r="J22" s="1" t="s">
        <v>2</v>
      </c>
      <c r="K22" s="24"/>
    </row>
    <row r="23" spans="1:11" x14ac:dyDescent="0.3">
      <c r="A23" s="1" t="s">
        <v>14</v>
      </c>
      <c r="B23" s="24"/>
      <c r="C23" s="1"/>
      <c r="D23" s="1" t="s">
        <v>14</v>
      </c>
      <c r="E23" s="24"/>
      <c r="F23" s="1"/>
      <c r="G23" s="1" t="s">
        <v>14</v>
      </c>
      <c r="H23" s="24"/>
      <c r="I23" s="1"/>
      <c r="J23" s="1" t="s">
        <v>14</v>
      </c>
      <c r="K23" s="24"/>
    </row>
    <row r="26" spans="1:11" x14ac:dyDescent="0.3">
      <c r="A26" s="1" t="s">
        <v>202</v>
      </c>
      <c r="D26" s="1" t="s">
        <v>203</v>
      </c>
      <c r="G26" s="1" t="s">
        <v>204</v>
      </c>
      <c r="J26" s="1" t="s">
        <v>205</v>
      </c>
    </row>
    <row r="27" spans="1:11" x14ac:dyDescent="0.3">
      <c r="A27" s="1" t="s">
        <v>79</v>
      </c>
      <c r="D27" s="1" t="s">
        <v>79</v>
      </c>
      <c r="G27" s="1" t="s">
        <v>79</v>
      </c>
      <c r="J27" s="1" t="s">
        <v>79</v>
      </c>
    </row>
    <row r="28" spans="1:11" x14ac:dyDescent="0.3">
      <c r="A28" t="s">
        <v>45</v>
      </c>
      <c r="B28">
        <v>50</v>
      </c>
      <c r="D28" t="s">
        <v>45</v>
      </c>
      <c r="E28">
        <v>50</v>
      </c>
      <c r="G28" t="s">
        <v>45</v>
      </c>
      <c r="H28" s="2">
        <v>100</v>
      </c>
      <c r="J28" t="s">
        <v>45</v>
      </c>
      <c r="K28" s="2">
        <v>100</v>
      </c>
    </row>
    <row r="29" spans="1:11" x14ac:dyDescent="0.3">
      <c r="A29" t="s">
        <v>39</v>
      </c>
      <c r="B29">
        <v>200</v>
      </c>
      <c r="D29" t="s">
        <v>39</v>
      </c>
      <c r="E29">
        <v>200</v>
      </c>
      <c r="G29" t="s">
        <v>39</v>
      </c>
      <c r="H29" s="2">
        <v>100</v>
      </c>
      <c r="J29" t="s">
        <v>39</v>
      </c>
      <c r="K29" s="2">
        <v>100</v>
      </c>
    </row>
    <row r="30" spans="1:11" x14ac:dyDescent="0.3">
      <c r="A30" t="s">
        <v>49</v>
      </c>
      <c r="B30">
        <v>22.5</v>
      </c>
      <c r="D30" t="s">
        <v>49</v>
      </c>
      <c r="E30">
        <v>22.5</v>
      </c>
      <c r="G30" t="s">
        <v>49</v>
      </c>
      <c r="H30" s="2">
        <v>22.5</v>
      </c>
      <c r="J30" t="s">
        <v>49</v>
      </c>
      <c r="K30" s="2">
        <v>22.5</v>
      </c>
    </row>
    <row r="31" spans="1:11" x14ac:dyDescent="0.3">
      <c r="A31" t="s">
        <v>169</v>
      </c>
      <c r="B31">
        <v>25</v>
      </c>
      <c r="D31" t="s">
        <v>169</v>
      </c>
      <c r="E31">
        <v>25</v>
      </c>
      <c r="G31" t="s">
        <v>159</v>
      </c>
      <c r="H31" s="2">
        <v>80</v>
      </c>
      <c r="J31" t="s">
        <v>159</v>
      </c>
      <c r="K31" s="2">
        <v>80</v>
      </c>
    </row>
    <row r="32" spans="1:11" x14ac:dyDescent="0.3">
      <c r="A32" t="s">
        <v>69</v>
      </c>
      <c r="B32" s="2">
        <v>10</v>
      </c>
      <c r="D32" t="s">
        <v>69</v>
      </c>
      <c r="E32" s="2">
        <v>10</v>
      </c>
      <c r="G32" t="s">
        <v>69</v>
      </c>
      <c r="H32" s="2">
        <v>10</v>
      </c>
      <c r="J32" t="s">
        <v>69</v>
      </c>
      <c r="K32" s="2">
        <v>10</v>
      </c>
    </row>
    <row r="34" spans="1:11" x14ac:dyDescent="0.3">
      <c r="A34" s="1" t="s">
        <v>80</v>
      </c>
      <c r="D34" s="1" t="s">
        <v>80</v>
      </c>
      <c r="G34" s="1" t="s">
        <v>80</v>
      </c>
      <c r="J34" s="1" t="s">
        <v>80</v>
      </c>
    </row>
    <row r="35" spans="1:11" x14ac:dyDescent="0.3">
      <c r="A35" t="s">
        <v>118</v>
      </c>
      <c r="B35">
        <v>100</v>
      </c>
      <c r="D35" t="s">
        <v>118</v>
      </c>
      <c r="E35">
        <v>100</v>
      </c>
      <c r="G35" t="s">
        <v>118</v>
      </c>
      <c r="H35" s="2">
        <v>100</v>
      </c>
      <c r="J35" t="s">
        <v>118</v>
      </c>
      <c r="K35" s="2">
        <v>100</v>
      </c>
    </row>
    <row r="36" spans="1:11" x14ac:dyDescent="0.3">
      <c r="A36" t="s">
        <v>169</v>
      </c>
      <c r="B36">
        <v>50</v>
      </c>
      <c r="D36" t="s">
        <v>169</v>
      </c>
      <c r="E36">
        <v>50</v>
      </c>
      <c r="G36" t="s">
        <v>35</v>
      </c>
      <c r="H36" s="25">
        <v>300</v>
      </c>
      <c r="J36" t="s">
        <v>35</v>
      </c>
      <c r="K36" s="25">
        <v>300</v>
      </c>
    </row>
    <row r="37" spans="1:11" x14ac:dyDescent="0.3">
      <c r="A37" t="s">
        <v>55</v>
      </c>
      <c r="B37">
        <v>15</v>
      </c>
      <c r="D37" t="s">
        <v>55</v>
      </c>
      <c r="E37">
        <v>15</v>
      </c>
      <c r="G37" t="s">
        <v>55</v>
      </c>
      <c r="H37" s="2">
        <v>15</v>
      </c>
      <c r="J37" t="s">
        <v>55</v>
      </c>
      <c r="K37" s="2">
        <v>15</v>
      </c>
    </row>
    <row r="38" spans="1:11" x14ac:dyDescent="0.3">
      <c r="A38" t="s">
        <v>65</v>
      </c>
      <c r="B38">
        <v>355</v>
      </c>
      <c r="D38" t="s">
        <v>65</v>
      </c>
      <c r="E38">
        <v>355</v>
      </c>
      <c r="G38" t="s">
        <v>148</v>
      </c>
      <c r="H38" s="25">
        <v>87.976190476190396</v>
      </c>
      <c r="J38" t="s">
        <v>148</v>
      </c>
      <c r="K38" s="25">
        <v>87.976190476190396</v>
      </c>
    </row>
    <row r="39" spans="1:11" x14ac:dyDescent="0.3">
      <c r="A39" t="s">
        <v>45</v>
      </c>
      <c r="B39">
        <v>100</v>
      </c>
      <c r="D39" t="s">
        <v>45</v>
      </c>
      <c r="E39">
        <v>100</v>
      </c>
      <c r="G39" t="s">
        <v>45</v>
      </c>
      <c r="H39" s="2">
        <v>100</v>
      </c>
      <c r="J39" t="s">
        <v>45</v>
      </c>
      <c r="K39" s="2">
        <v>100</v>
      </c>
    </row>
    <row r="41" spans="1:11" x14ac:dyDescent="0.3">
      <c r="A41" s="1" t="s">
        <v>81</v>
      </c>
      <c r="D41" s="1" t="s">
        <v>81</v>
      </c>
      <c r="G41" s="1" t="s">
        <v>81</v>
      </c>
      <c r="J41" s="1" t="s">
        <v>81</v>
      </c>
    </row>
    <row r="42" spans="1:11" x14ac:dyDescent="0.3">
      <c r="A42" t="s">
        <v>45</v>
      </c>
      <c r="B42">
        <v>50</v>
      </c>
      <c r="D42" t="s">
        <v>45</v>
      </c>
      <c r="E42">
        <v>50</v>
      </c>
      <c r="G42" t="s">
        <v>118</v>
      </c>
      <c r="H42" s="2">
        <v>100</v>
      </c>
      <c r="J42" t="s">
        <v>118</v>
      </c>
      <c r="K42" s="2">
        <v>100</v>
      </c>
    </row>
    <row r="43" spans="1:11" x14ac:dyDescent="0.3">
      <c r="A43" t="s">
        <v>118</v>
      </c>
      <c r="B43">
        <v>100</v>
      </c>
      <c r="D43" t="s">
        <v>118</v>
      </c>
      <c r="E43">
        <v>100</v>
      </c>
      <c r="G43" t="s">
        <v>56</v>
      </c>
      <c r="H43" s="2">
        <v>43</v>
      </c>
      <c r="J43" t="s">
        <v>56</v>
      </c>
      <c r="K43" s="2">
        <v>43</v>
      </c>
    </row>
    <row r="44" spans="1:11" x14ac:dyDescent="0.3">
      <c r="A44" t="s">
        <v>198</v>
      </c>
      <c r="B44">
        <v>50</v>
      </c>
      <c r="D44" t="s">
        <v>198</v>
      </c>
      <c r="E44">
        <v>50</v>
      </c>
      <c r="G44" t="s">
        <v>49</v>
      </c>
      <c r="H44" s="2">
        <v>22.5</v>
      </c>
      <c r="J44" t="s">
        <v>49</v>
      </c>
      <c r="K44" s="2">
        <v>22.5</v>
      </c>
    </row>
    <row r="45" spans="1:11" x14ac:dyDescent="0.3">
      <c r="A45" t="s">
        <v>49</v>
      </c>
      <c r="B45">
        <v>22.5</v>
      </c>
      <c r="D45" t="s">
        <v>49</v>
      </c>
      <c r="E45">
        <v>22.5</v>
      </c>
      <c r="G45" t="s">
        <v>159</v>
      </c>
      <c r="H45" s="2">
        <v>80</v>
      </c>
      <c r="J45" t="s">
        <v>159</v>
      </c>
      <c r="K45" s="2">
        <v>80</v>
      </c>
    </row>
    <row r="46" spans="1:11" x14ac:dyDescent="0.3">
      <c r="G46" t="s">
        <v>39</v>
      </c>
      <c r="H46" s="2">
        <v>100</v>
      </c>
      <c r="J46" t="s">
        <v>39</v>
      </c>
      <c r="K46" s="2">
        <v>100</v>
      </c>
    </row>
    <row r="47" spans="1:11" x14ac:dyDescent="0.3">
      <c r="J47" t="s">
        <v>69</v>
      </c>
      <c r="K47" s="2">
        <v>10</v>
      </c>
    </row>
    <row r="48" spans="1:11" x14ac:dyDescent="0.3">
      <c r="H48" s="24"/>
      <c r="K48" s="24"/>
    </row>
    <row r="49" spans="1:17" x14ac:dyDescent="0.3">
      <c r="A49" s="1" t="s">
        <v>2</v>
      </c>
      <c r="B49" s="24"/>
      <c r="D49" s="1" t="s">
        <v>2</v>
      </c>
      <c r="E49" s="24"/>
      <c r="G49" s="1" t="s">
        <v>2</v>
      </c>
      <c r="H49" s="24"/>
      <c r="J49" s="1" t="s">
        <v>2</v>
      </c>
      <c r="K49" s="24"/>
    </row>
    <row r="50" spans="1:17" x14ac:dyDescent="0.3">
      <c r="A50" s="1" t="s">
        <v>14</v>
      </c>
      <c r="B50" s="24"/>
      <c r="D50" s="1" t="s">
        <v>14</v>
      </c>
      <c r="E50" s="24"/>
      <c r="G50" s="1" t="s">
        <v>14</v>
      </c>
      <c r="J50" s="1" t="s">
        <v>14</v>
      </c>
    </row>
    <row r="53" spans="1:17" x14ac:dyDescent="0.3">
      <c r="A53" s="1" t="s">
        <v>206</v>
      </c>
      <c r="D53" s="1" t="s">
        <v>207</v>
      </c>
      <c r="G53" s="1" t="s">
        <v>208</v>
      </c>
      <c r="J53" s="1" t="s">
        <v>209</v>
      </c>
    </row>
    <row r="54" spans="1:17" x14ac:dyDescent="0.3">
      <c r="A54" s="1" t="s">
        <v>79</v>
      </c>
      <c r="B54" s="2"/>
      <c r="D54" s="1" t="s">
        <v>79</v>
      </c>
      <c r="G54" s="1" t="s">
        <v>79</v>
      </c>
      <c r="J54" s="1" t="s">
        <v>79</v>
      </c>
      <c r="K54" s="2"/>
    </row>
    <row r="55" spans="1:17" x14ac:dyDescent="0.3">
      <c r="A55" t="s">
        <v>45</v>
      </c>
      <c r="B55" s="2">
        <v>50</v>
      </c>
      <c r="C55" s="6"/>
      <c r="D55" t="s">
        <v>45</v>
      </c>
      <c r="E55" s="2">
        <v>50</v>
      </c>
      <c r="F55" s="6"/>
      <c r="G55" t="s">
        <v>45</v>
      </c>
      <c r="H55" s="2">
        <v>50</v>
      </c>
      <c r="J55" t="s">
        <v>45</v>
      </c>
      <c r="K55" s="2">
        <v>50</v>
      </c>
    </row>
    <row r="56" spans="1:17" x14ac:dyDescent="0.3">
      <c r="A56" t="s">
        <v>39</v>
      </c>
      <c r="B56" s="2">
        <v>200</v>
      </c>
      <c r="C56" s="6"/>
      <c r="D56" t="s">
        <v>39</v>
      </c>
      <c r="E56" s="2">
        <v>200</v>
      </c>
      <c r="F56" s="6"/>
      <c r="G56" t="s">
        <v>39</v>
      </c>
      <c r="H56" s="2">
        <v>100</v>
      </c>
      <c r="J56" t="s">
        <v>39</v>
      </c>
      <c r="K56" s="2">
        <v>100</v>
      </c>
    </row>
    <row r="57" spans="1:17" x14ac:dyDescent="0.3">
      <c r="A57" t="s">
        <v>49</v>
      </c>
      <c r="B57" s="2">
        <v>22.5</v>
      </c>
      <c r="C57" s="6"/>
      <c r="D57" t="s">
        <v>49</v>
      </c>
      <c r="E57" s="2">
        <v>22.5</v>
      </c>
      <c r="F57" s="6"/>
      <c r="G57" t="s">
        <v>49</v>
      </c>
      <c r="H57" s="2">
        <v>22.5</v>
      </c>
      <c r="J57" t="s">
        <v>49</v>
      </c>
      <c r="K57" s="2">
        <v>22.5</v>
      </c>
    </row>
    <row r="58" spans="1:17" x14ac:dyDescent="0.3">
      <c r="A58" t="s">
        <v>71</v>
      </c>
      <c r="B58" s="25">
        <v>150</v>
      </c>
      <c r="C58" s="6"/>
      <c r="D58" t="s">
        <v>71</v>
      </c>
      <c r="E58" s="25">
        <v>150</v>
      </c>
      <c r="F58" s="6"/>
      <c r="G58" t="s">
        <v>69</v>
      </c>
      <c r="H58" s="25">
        <v>10</v>
      </c>
      <c r="I58" s="2"/>
      <c r="J58" t="s">
        <v>69</v>
      </c>
      <c r="K58" s="25">
        <v>10</v>
      </c>
      <c r="L58" s="2"/>
      <c r="M58" s="2"/>
      <c r="N58" s="2"/>
      <c r="O58" s="2"/>
      <c r="P58" s="2"/>
      <c r="Q58" s="2"/>
    </row>
    <row r="59" spans="1:17" x14ac:dyDescent="0.3">
      <c r="B59" s="2"/>
      <c r="C59" s="6"/>
      <c r="E59" s="2"/>
      <c r="F59" s="6"/>
      <c r="G59" t="s">
        <v>159</v>
      </c>
      <c r="H59" s="25">
        <v>80</v>
      </c>
      <c r="I59" s="2"/>
      <c r="J59" t="s">
        <v>159</v>
      </c>
      <c r="K59" s="25">
        <v>80</v>
      </c>
      <c r="L59" s="2"/>
      <c r="M59" s="2"/>
      <c r="N59" s="2"/>
      <c r="O59" s="2"/>
      <c r="P59" s="2"/>
      <c r="Q59" s="2"/>
    </row>
    <row r="60" spans="1:17" x14ac:dyDescent="0.3">
      <c r="A60" s="1" t="s">
        <v>80</v>
      </c>
      <c r="B60" s="2"/>
      <c r="C60" s="6"/>
      <c r="D60" s="1" t="s">
        <v>80</v>
      </c>
      <c r="E60" s="2"/>
      <c r="F60" s="6"/>
      <c r="H60" s="2"/>
      <c r="I60" s="2"/>
      <c r="K60" s="2"/>
      <c r="L60" s="2"/>
      <c r="M60" s="2"/>
      <c r="N60" s="2"/>
      <c r="O60" s="2"/>
      <c r="P60" s="2"/>
      <c r="Q60" s="2"/>
    </row>
    <row r="61" spans="1:17" x14ac:dyDescent="0.3">
      <c r="A61" t="s">
        <v>118</v>
      </c>
      <c r="B61" s="2">
        <v>100</v>
      </c>
      <c r="C61" s="6"/>
      <c r="D61" t="s">
        <v>118</v>
      </c>
      <c r="E61" s="2">
        <v>100</v>
      </c>
      <c r="F61" s="6"/>
      <c r="G61" s="1" t="s">
        <v>80</v>
      </c>
      <c r="H61" s="2"/>
      <c r="I61" s="25"/>
      <c r="J61" s="1" t="s">
        <v>80</v>
      </c>
      <c r="K61" s="2"/>
      <c r="L61" s="2"/>
      <c r="M61" s="2"/>
      <c r="N61" s="2"/>
      <c r="O61" s="2"/>
      <c r="P61" s="2"/>
      <c r="Q61" s="2"/>
    </row>
    <row r="62" spans="1:17" x14ac:dyDescent="0.3">
      <c r="A62" t="s">
        <v>55</v>
      </c>
      <c r="B62" s="2">
        <v>15</v>
      </c>
      <c r="C62" s="6"/>
      <c r="D62" t="s">
        <v>55</v>
      </c>
      <c r="E62" s="2">
        <v>15</v>
      </c>
      <c r="F62" s="6"/>
      <c r="G62" t="s">
        <v>118</v>
      </c>
      <c r="H62" s="2">
        <v>100</v>
      </c>
      <c r="I62" s="2"/>
      <c r="J62" t="s">
        <v>118</v>
      </c>
      <c r="K62" s="2">
        <v>100</v>
      </c>
      <c r="L62" s="2"/>
      <c r="M62" s="2"/>
      <c r="N62" s="2"/>
      <c r="O62" s="2"/>
      <c r="P62" s="2"/>
      <c r="Q62" s="2"/>
    </row>
    <row r="63" spans="1:17" x14ac:dyDescent="0.3">
      <c r="A63" t="s">
        <v>45</v>
      </c>
      <c r="B63" s="2">
        <v>100</v>
      </c>
      <c r="D63" t="s">
        <v>45</v>
      </c>
      <c r="E63" s="2">
        <v>100</v>
      </c>
      <c r="G63" t="s">
        <v>55</v>
      </c>
      <c r="H63" s="2">
        <v>15</v>
      </c>
      <c r="I63" s="25"/>
      <c r="J63" t="s">
        <v>55</v>
      </c>
      <c r="K63" s="2">
        <v>15</v>
      </c>
      <c r="L63" s="25"/>
      <c r="M63" s="25"/>
      <c r="N63" s="25"/>
      <c r="O63" s="25"/>
      <c r="P63" s="2"/>
      <c r="Q63" s="2"/>
    </row>
    <row r="64" spans="1:17" x14ac:dyDescent="0.3">
      <c r="A64" t="s">
        <v>56</v>
      </c>
      <c r="B64" s="25">
        <v>43</v>
      </c>
      <c r="D64" t="s">
        <v>56</v>
      </c>
      <c r="E64" s="25">
        <v>43</v>
      </c>
      <c r="G64" t="s">
        <v>45</v>
      </c>
      <c r="H64" s="2">
        <v>100</v>
      </c>
      <c r="I64" s="25"/>
      <c r="J64" t="s">
        <v>45</v>
      </c>
      <c r="K64" s="2">
        <v>100</v>
      </c>
      <c r="L64" s="25"/>
      <c r="M64" s="25"/>
      <c r="N64" s="25"/>
      <c r="O64" s="25"/>
      <c r="P64" s="2"/>
      <c r="Q64" s="2"/>
    </row>
    <row r="65" spans="1:17" x14ac:dyDescent="0.3">
      <c r="A65" t="s">
        <v>158</v>
      </c>
      <c r="B65" s="25">
        <v>54</v>
      </c>
      <c r="D65" t="s">
        <v>158</v>
      </c>
      <c r="E65" s="25">
        <v>54</v>
      </c>
      <c r="G65" t="s">
        <v>40</v>
      </c>
      <c r="H65" s="25">
        <v>164.80952380952354</v>
      </c>
      <c r="I65" s="25"/>
      <c r="J65" t="s">
        <v>40</v>
      </c>
      <c r="K65" s="25">
        <v>164.80952380952354</v>
      </c>
      <c r="L65" s="25"/>
      <c r="M65" s="25"/>
      <c r="N65" s="25"/>
      <c r="O65" s="25"/>
      <c r="P65" s="2"/>
      <c r="Q65" s="2"/>
    </row>
    <row r="66" spans="1:17" x14ac:dyDescent="0.3">
      <c r="A66" t="s">
        <v>52</v>
      </c>
      <c r="B66" s="25">
        <v>150</v>
      </c>
      <c r="D66" t="s">
        <v>52</v>
      </c>
      <c r="E66" s="25">
        <v>150</v>
      </c>
      <c r="G66" t="s">
        <v>158</v>
      </c>
      <c r="H66" s="25">
        <v>54</v>
      </c>
      <c r="I66" s="25"/>
      <c r="J66" t="s">
        <v>158</v>
      </c>
      <c r="K66" s="25">
        <v>54</v>
      </c>
      <c r="L66" s="25"/>
      <c r="M66" s="25"/>
      <c r="N66" s="25"/>
      <c r="O66" s="25"/>
      <c r="P66" s="2"/>
      <c r="Q66" s="2"/>
    </row>
    <row r="67" spans="1:17" x14ac:dyDescent="0.3">
      <c r="A67" t="s">
        <v>36</v>
      </c>
      <c r="B67" s="25">
        <v>188.9523809523846</v>
      </c>
      <c r="D67" t="s">
        <v>36</v>
      </c>
      <c r="E67" s="25">
        <v>188.9523809523846</v>
      </c>
      <c r="G67" t="s">
        <v>52</v>
      </c>
      <c r="H67" s="25">
        <v>150</v>
      </c>
      <c r="I67" s="25"/>
      <c r="J67" t="s">
        <v>52</v>
      </c>
      <c r="K67" s="25">
        <v>150</v>
      </c>
      <c r="L67" s="25"/>
      <c r="M67" s="25"/>
      <c r="N67" s="25"/>
      <c r="O67" s="25"/>
      <c r="P67" s="2"/>
      <c r="Q67" s="2"/>
    </row>
    <row r="68" spans="1:17" x14ac:dyDescent="0.3">
      <c r="B68" s="2"/>
      <c r="E68" s="2"/>
      <c r="G68" t="s">
        <v>60</v>
      </c>
      <c r="H68" s="25">
        <v>189.52380952381603</v>
      </c>
      <c r="I68" s="25"/>
      <c r="J68" t="s">
        <v>60</v>
      </c>
      <c r="K68" s="25">
        <v>189.52380952381603</v>
      </c>
      <c r="L68" s="25"/>
      <c r="M68" s="25"/>
      <c r="N68" s="25"/>
      <c r="O68" s="25"/>
      <c r="P68" s="2"/>
      <c r="Q68" s="2"/>
    </row>
    <row r="69" spans="1:17" x14ac:dyDescent="0.3">
      <c r="A69" s="1" t="s">
        <v>81</v>
      </c>
      <c r="B69" s="2"/>
      <c r="D69" s="1" t="s">
        <v>81</v>
      </c>
      <c r="E69" s="2"/>
      <c r="H69" s="2"/>
      <c r="I69" s="25"/>
      <c r="K69" s="2"/>
      <c r="L69" s="25"/>
      <c r="M69" s="25"/>
      <c r="N69" s="25"/>
      <c r="O69" s="25"/>
      <c r="P69" s="2"/>
      <c r="Q69" s="2"/>
    </row>
    <row r="70" spans="1:17" x14ac:dyDescent="0.3">
      <c r="A70" t="s">
        <v>45</v>
      </c>
      <c r="B70" s="2">
        <v>50</v>
      </c>
      <c r="D70" t="s">
        <v>45</v>
      </c>
      <c r="E70" s="2">
        <v>50</v>
      </c>
      <c r="G70" s="1" t="s">
        <v>81</v>
      </c>
      <c r="H70" s="2"/>
      <c r="J70" s="1" t="s">
        <v>81</v>
      </c>
      <c r="K70" s="2"/>
      <c r="L70" s="25"/>
      <c r="M70" s="25"/>
      <c r="N70" s="25"/>
      <c r="O70" s="25"/>
      <c r="P70" s="2"/>
      <c r="Q70" s="2"/>
    </row>
    <row r="71" spans="1:17" x14ac:dyDescent="0.3">
      <c r="A71" t="s">
        <v>118</v>
      </c>
      <c r="B71" s="2">
        <v>100</v>
      </c>
      <c r="D71" t="s">
        <v>118</v>
      </c>
      <c r="E71" s="2">
        <v>100</v>
      </c>
      <c r="G71" t="s">
        <v>45</v>
      </c>
      <c r="H71" s="2">
        <v>50</v>
      </c>
      <c r="J71" t="s">
        <v>45</v>
      </c>
      <c r="K71" s="2">
        <v>50</v>
      </c>
      <c r="L71" s="25"/>
      <c r="M71" s="25"/>
      <c r="N71" s="25"/>
      <c r="O71" s="25"/>
      <c r="P71" s="2"/>
      <c r="Q71" s="2"/>
    </row>
    <row r="72" spans="1:17" x14ac:dyDescent="0.3">
      <c r="A72" t="s">
        <v>49</v>
      </c>
      <c r="B72" s="2">
        <v>22.5</v>
      </c>
      <c r="D72" t="s">
        <v>49</v>
      </c>
      <c r="E72" s="2">
        <v>22.5</v>
      </c>
      <c r="G72" t="s">
        <v>118</v>
      </c>
      <c r="H72" s="2">
        <v>100</v>
      </c>
      <c r="J72" t="s">
        <v>118</v>
      </c>
      <c r="K72" s="2">
        <v>100</v>
      </c>
      <c r="L72" s="25"/>
      <c r="M72" s="25"/>
      <c r="N72" s="25"/>
      <c r="O72" s="25"/>
      <c r="P72" s="2"/>
      <c r="Q72" s="2"/>
    </row>
    <row r="73" spans="1:17" x14ac:dyDescent="0.3">
      <c r="A73" t="s">
        <v>55</v>
      </c>
      <c r="B73" s="2">
        <v>15</v>
      </c>
      <c r="D73" t="s">
        <v>55</v>
      </c>
      <c r="E73" s="2">
        <v>15</v>
      </c>
      <c r="G73" t="s">
        <v>49</v>
      </c>
      <c r="H73" s="2">
        <v>22.5</v>
      </c>
      <c r="I73" s="25"/>
      <c r="J73" t="s">
        <v>49</v>
      </c>
      <c r="K73" s="2">
        <v>22.5</v>
      </c>
      <c r="L73" s="2"/>
      <c r="M73" s="2"/>
      <c r="N73" s="2"/>
      <c r="O73" s="2"/>
      <c r="P73" s="2"/>
      <c r="Q73" s="2"/>
    </row>
    <row r="74" spans="1:17" x14ac:dyDescent="0.3">
      <c r="B74" s="2"/>
      <c r="E74" s="2"/>
      <c r="G74" t="s">
        <v>55</v>
      </c>
      <c r="H74" s="2">
        <v>15</v>
      </c>
      <c r="I74" s="25"/>
      <c r="J74" t="s">
        <v>55</v>
      </c>
      <c r="K74" s="2">
        <v>15</v>
      </c>
    </row>
    <row r="75" spans="1:17" x14ac:dyDescent="0.3">
      <c r="A75" s="1" t="s">
        <v>2</v>
      </c>
      <c r="B75" s="2"/>
      <c r="D75" s="1" t="s">
        <v>2</v>
      </c>
      <c r="E75" s="2"/>
      <c r="G75" t="s">
        <v>148</v>
      </c>
      <c r="H75" s="25">
        <v>50</v>
      </c>
      <c r="I75" s="25"/>
      <c r="J75" t="s">
        <v>148</v>
      </c>
      <c r="K75" s="25">
        <v>50</v>
      </c>
    </row>
    <row r="76" spans="1:17" x14ac:dyDescent="0.3">
      <c r="A76" s="1" t="s">
        <v>14</v>
      </c>
      <c r="B76" s="25"/>
      <c r="D76" s="1" t="s">
        <v>14</v>
      </c>
      <c r="E76" s="25"/>
      <c r="H76" s="2"/>
      <c r="I76" s="2"/>
      <c r="K76" s="2"/>
    </row>
    <row r="77" spans="1:17" x14ac:dyDescent="0.3">
      <c r="B77" s="25"/>
      <c r="G77" s="1" t="s">
        <v>2</v>
      </c>
      <c r="H77" s="25"/>
      <c r="J77" s="1" t="s">
        <v>2</v>
      </c>
      <c r="K77" s="24"/>
    </row>
    <row r="78" spans="1:17" x14ac:dyDescent="0.3">
      <c r="B78" s="2"/>
      <c r="G78" s="1" t="s">
        <v>14</v>
      </c>
      <c r="J78" s="1" t="s">
        <v>14</v>
      </c>
    </row>
    <row r="79" spans="1:17" x14ac:dyDescent="0.3">
      <c r="B79" s="2"/>
    </row>
    <row r="80" spans="1:17" x14ac:dyDescent="0.3">
      <c r="B80" s="2"/>
    </row>
    <row r="81" spans="2:15" x14ac:dyDescent="0.3">
      <c r="B81" s="2"/>
    </row>
    <row r="82" spans="2:15" x14ac:dyDescent="0.3">
      <c r="B82" s="2"/>
    </row>
    <row r="83" spans="2:15" x14ac:dyDescent="0.3">
      <c r="H83" s="24"/>
      <c r="I83" s="6"/>
      <c r="J83" s="6"/>
      <c r="K83" s="6"/>
      <c r="L83" s="6"/>
      <c r="M83" s="6"/>
      <c r="N83" s="6"/>
      <c r="O83" s="6"/>
    </row>
    <row r="84" spans="2:15" x14ac:dyDescent="0.3">
      <c r="H84" s="24"/>
      <c r="I84" s="6"/>
      <c r="J84" s="6"/>
      <c r="K84" s="6"/>
      <c r="L84" s="6"/>
      <c r="M84" s="6"/>
      <c r="N84" s="6"/>
      <c r="O84" s="6"/>
    </row>
    <row r="85" spans="2:15" x14ac:dyDescent="0.3">
      <c r="B85" s="24"/>
      <c r="C85" s="6"/>
      <c r="D85" s="6"/>
      <c r="E85" s="6"/>
      <c r="F85" s="6"/>
      <c r="H85" s="24"/>
      <c r="I85" s="6"/>
      <c r="J85" s="6"/>
      <c r="K85" s="6"/>
      <c r="L85" s="6"/>
      <c r="M85" s="6"/>
      <c r="N85" s="6"/>
      <c r="O85" s="6"/>
    </row>
    <row r="86" spans="2:15" x14ac:dyDescent="0.3">
      <c r="B86" s="24"/>
      <c r="C86" s="6"/>
      <c r="D86" s="6"/>
      <c r="E86" s="6"/>
      <c r="F86" s="6"/>
      <c r="H86" s="24"/>
      <c r="I86" s="6"/>
      <c r="J86" s="6"/>
      <c r="K86" s="6"/>
      <c r="L86" s="6"/>
      <c r="M86" s="6"/>
      <c r="N86" s="6"/>
      <c r="O86" s="6"/>
    </row>
    <row r="87" spans="2:15" x14ac:dyDescent="0.3">
      <c r="B87" s="24"/>
      <c r="C87" s="6"/>
      <c r="D87" s="6"/>
      <c r="E87" s="6"/>
      <c r="F87" s="6"/>
      <c r="H87" s="24"/>
      <c r="I87" s="6"/>
      <c r="J87" s="6"/>
      <c r="K87" s="6"/>
      <c r="L87" s="6"/>
      <c r="M87" s="6"/>
      <c r="N87" s="6"/>
      <c r="O87" s="6"/>
    </row>
    <row r="88" spans="2:15" x14ac:dyDescent="0.3">
      <c r="B88" s="24"/>
      <c r="C88" s="6"/>
      <c r="D88" s="6"/>
      <c r="E88" s="6"/>
      <c r="F88" s="6"/>
      <c r="H88" s="24"/>
      <c r="I88" s="6"/>
      <c r="J88" s="6"/>
      <c r="K88" s="6"/>
      <c r="L88" s="6"/>
      <c r="M88" s="6"/>
      <c r="N88" s="6"/>
      <c r="O88" s="6"/>
    </row>
    <row r="89" spans="2:15" x14ac:dyDescent="0.3">
      <c r="B89" s="24"/>
      <c r="C89" s="6"/>
      <c r="D89" s="6"/>
      <c r="E89" s="6"/>
      <c r="F89" s="6"/>
      <c r="H89" s="24"/>
      <c r="I89" s="6"/>
      <c r="J89" s="6"/>
      <c r="K89" s="6"/>
      <c r="L89" s="6"/>
      <c r="M89" s="6"/>
      <c r="N89" s="6"/>
      <c r="O89" s="6"/>
    </row>
    <row r="90" spans="2:15" x14ac:dyDescent="0.3">
      <c r="B90" s="24"/>
      <c r="C90" s="6"/>
      <c r="D90" s="6"/>
      <c r="E90" s="6"/>
      <c r="F90" s="6"/>
      <c r="H90" s="24"/>
      <c r="I90" s="6"/>
      <c r="J90" s="6"/>
      <c r="K90" s="6"/>
      <c r="L90" s="6"/>
      <c r="M90" s="6"/>
      <c r="N90" s="6"/>
      <c r="O90" s="6"/>
    </row>
    <row r="91" spans="2:15" x14ac:dyDescent="0.3">
      <c r="B91" s="24"/>
      <c r="C91" s="6"/>
      <c r="D91" s="6"/>
      <c r="E91" s="6"/>
      <c r="F91" s="6"/>
      <c r="H91" s="6"/>
      <c r="I91" s="6"/>
      <c r="J91" s="6"/>
      <c r="K91" s="6"/>
      <c r="L91" s="6"/>
      <c r="M91" s="6"/>
      <c r="N91" s="6"/>
      <c r="O91" s="6"/>
    </row>
    <row r="92" spans="2:15" x14ac:dyDescent="0.3">
      <c r="B92" s="6"/>
      <c r="C92" s="6"/>
      <c r="D92" s="6"/>
      <c r="E92" s="6"/>
      <c r="F92" s="6"/>
      <c r="H92" s="24"/>
      <c r="I92" s="6"/>
      <c r="J92" s="6"/>
      <c r="K92" s="6"/>
      <c r="L92" s="6"/>
      <c r="M92" s="6"/>
      <c r="N92" s="6"/>
      <c r="O92" s="6"/>
    </row>
    <row r="93" spans="2:15" x14ac:dyDescent="0.3">
      <c r="B93" s="6"/>
      <c r="C93" s="6"/>
      <c r="D93" s="6"/>
      <c r="E93" s="6"/>
      <c r="F93" s="6"/>
      <c r="H93" s="24"/>
      <c r="I93" s="6"/>
      <c r="J93" s="6"/>
      <c r="K93" s="6"/>
      <c r="L93" s="6"/>
      <c r="M93" s="6"/>
      <c r="N93" s="6"/>
      <c r="O93" s="6"/>
    </row>
    <row r="94" spans="2:15" x14ac:dyDescent="0.3">
      <c r="B94" s="6"/>
      <c r="C94" s="6"/>
      <c r="D94" s="6"/>
      <c r="E94" s="6"/>
      <c r="F94" s="6"/>
      <c r="H94" s="24"/>
      <c r="I94" s="6"/>
      <c r="J94" s="6"/>
      <c r="K94" s="6"/>
      <c r="L94" s="6"/>
      <c r="M94" s="6"/>
      <c r="N94" s="6"/>
      <c r="O94" s="6"/>
    </row>
    <row r="95" spans="2:15" x14ac:dyDescent="0.3">
      <c r="B95" s="24"/>
      <c r="C95" s="6"/>
      <c r="D95" s="6"/>
      <c r="E95" s="6"/>
      <c r="F95" s="6"/>
      <c r="H95" s="24"/>
      <c r="I95" s="6"/>
      <c r="J95" s="6"/>
      <c r="K95" s="6"/>
      <c r="L95" s="6"/>
      <c r="M95" s="6"/>
      <c r="N95" s="6"/>
      <c r="O95" s="6"/>
    </row>
    <row r="96" spans="2:15" x14ac:dyDescent="0.3">
      <c r="B96" s="24"/>
      <c r="C96" s="6"/>
      <c r="D96" s="6"/>
      <c r="E96" s="6"/>
      <c r="F96" s="6"/>
      <c r="I96" s="6"/>
      <c r="J96" s="6"/>
      <c r="K96" s="6"/>
      <c r="L96" s="6"/>
      <c r="M96" s="6"/>
      <c r="N96" s="6"/>
      <c r="O96" s="6"/>
    </row>
    <row r="97" spans="2:9" x14ac:dyDescent="0.3">
      <c r="B97" s="6"/>
      <c r="C97" s="6"/>
      <c r="D97" s="6"/>
      <c r="E97" s="6"/>
      <c r="F97" s="6"/>
      <c r="G97" s="6"/>
      <c r="H97" s="6"/>
      <c r="I97" s="6"/>
    </row>
    <row r="98" spans="2:9" x14ac:dyDescent="0.3">
      <c r="C98" s="6"/>
      <c r="D98" s="6"/>
      <c r="E98" s="6"/>
      <c r="F98" s="6"/>
      <c r="G98" s="6"/>
      <c r="H98" s="6"/>
      <c r="I98" s="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5DD3-966A-4FF7-8055-3CFA1C9CA63B}">
  <sheetPr codeName="Hoja10"/>
  <dimension ref="A1:I260"/>
  <sheetViews>
    <sheetView topLeftCell="A118" workbookViewId="0">
      <selection activeCell="A124" sqref="A124"/>
    </sheetView>
  </sheetViews>
  <sheetFormatPr defaultColWidth="11.5546875" defaultRowHeight="14.4" x14ac:dyDescent="0.3"/>
  <cols>
    <col min="1" max="1" width="23.33203125" bestFit="1" customWidth="1"/>
  </cols>
  <sheetData>
    <row r="1" spans="1:9" x14ac:dyDescent="0.3">
      <c r="A1" t="s">
        <v>179</v>
      </c>
    </row>
    <row r="2" spans="1:9" x14ac:dyDescent="0.3">
      <c r="A2" t="s">
        <v>10</v>
      </c>
      <c r="B2" t="s">
        <v>1</v>
      </c>
      <c r="C2" t="s">
        <v>176</v>
      </c>
      <c r="D2" t="s">
        <v>2</v>
      </c>
      <c r="E2" t="s">
        <v>4</v>
      </c>
      <c r="F2" t="s">
        <v>3</v>
      </c>
      <c r="G2" t="s">
        <v>175</v>
      </c>
      <c r="H2" t="s">
        <v>5</v>
      </c>
      <c r="I2" t="s">
        <v>6</v>
      </c>
    </row>
    <row r="3" spans="1:9" x14ac:dyDescent="0.3">
      <c r="A3" t="s">
        <v>45</v>
      </c>
      <c r="B3" s="6">
        <v>200</v>
      </c>
      <c r="C3" s="6">
        <v>1931.6666666666667</v>
      </c>
      <c r="D3" s="6">
        <v>310</v>
      </c>
      <c r="E3" s="6">
        <v>21.333333333333336</v>
      </c>
      <c r="F3" s="6">
        <v>2.333333333333333</v>
      </c>
      <c r="G3" s="6">
        <v>25</v>
      </c>
      <c r="H3" s="6">
        <v>0</v>
      </c>
      <c r="I3" s="6">
        <v>0.33333333333333337</v>
      </c>
    </row>
    <row r="4" spans="1:9" x14ac:dyDescent="0.3">
      <c r="A4" t="s">
        <v>39</v>
      </c>
      <c r="B4" s="6">
        <v>200</v>
      </c>
      <c r="C4" s="6">
        <v>486.66666666666663</v>
      </c>
      <c r="D4" s="6">
        <v>116.66666666666667</v>
      </c>
      <c r="E4" s="6">
        <v>5.833333333333333</v>
      </c>
      <c r="F4" s="6">
        <v>9.1666666666666661</v>
      </c>
      <c r="G4" s="6">
        <v>6.666666666666667</v>
      </c>
      <c r="H4" s="6">
        <v>0</v>
      </c>
      <c r="I4" s="6">
        <v>0.13333333333333333</v>
      </c>
    </row>
    <row r="5" spans="1:9" x14ac:dyDescent="0.3">
      <c r="A5" t="s">
        <v>118</v>
      </c>
      <c r="B5" s="6">
        <v>200</v>
      </c>
      <c r="C5" s="6">
        <v>3429.9999999999995</v>
      </c>
      <c r="D5" s="6">
        <v>344</v>
      </c>
      <c r="E5" s="6">
        <v>18.600000000000001</v>
      </c>
      <c r="F5" s="6">
        <v>0</v>
      </c>
      <c r="G5" s="6">
        <v>41.8</v>
      </c>
      <c r="H5" s="6">
        <v>0</v>
      </c>
      <c r="I5" s="6">
        <v>0.2</v>
      </c>
    </row>
    <row r="6" spans="1:9" x14ac:dyDescent="0.3">
      <c r="A6" t="s">
        <v>138</v>
      </c>
      <c r="B6" s="6">
        <v>249.05494505494497</v>
      </c>
      <c r="C6" s="6">
        <v>1389.7265934065929</v>
      </c>
      <c r="D6" s="6">
        <v>902.82417582417554</v>
      </c>
      <c r="E6" s="6">
        <v>3.1131868131868123</v>
      </c>
      <c r="F6" s="6">
        <v>189.90439560439552</v>
      </c>
      <c r="G6" s="6">
        <v>28.01868131868131</v>
      </c>
      <c r="H6" s="6">
        <v>0</v>
      </c>
      <c r="I6" s="6">
        <v>0</v>
      </c>
    </row>
    <row r="7" spans="1:9" x14ac:dyDescent="0.3">
      <c r="A7" t="s">
        <v>49</v>
      </c>
      <c r="B7" s="6">
        <v>45</v>
      </c>
      <c r="C7" s="6">
        <v>209.00000000000003</v>
      </c>
      <c r="D7" s="6">
        <v>110.00000000000001</v>
      </c>
      <c r="E7" s="6">
        <v>1.5</v>
      </c>
      <c r="F7" s="6">
        <v>19</v>
      </c>
      <c r="G7" s="6">
        <v>4</v>
      </c>
      <c r="H7" s="6">
        <v>1</v>
      </c>
      <c r="I7" s="6">
        <v>0.22</v>
      </c>
    </row>
    <row r="8" spans="1:9" x14ac:dyDescent="0.3">
      <c r="A8" t="s">
        <v>169</v>
      </c>
      <c r="B8" s="6">
        <v>42.989926739926716</v>
      </c>
      <c r="C8" s="6">
        <v>729.75400641025601</v>
      </c>
      <c r="D8" s="6">
        <v>103.17582417582412</v>
      </c>
      <c r="E8" s="6">
        <v>8.5979853479853432</v>
      </c>
      <c r="F8" s="6">
        <v>0.8597985347985343</v>
      </c>
      <c r="G8" s="6">
        <v>8.5979853479853432</v>
      </c>
      <c r="H8" s="6">
        <v>0</v>
      </c>
      <c r="I8" s="6">
        <v>0.23214560439560428</v>
      </c>
    </row>
    <row r="9" spans="1:9" x14ac:dyDescent="0.3">
      <c r="A9" t="s">
        <v>55</v>
      </c>
      <c r="B9" s="6">
        <v>15</v>
      </c>
      <c r="C9" s="6">
        <v>157.10526315789474</v>
      </c>
      <c r="D9" s="6">
        <v>13.333333333333332</v>
      </c>
      <c r="E9" s="6">
        <v>8.3333333333333343E-2</v>
      </c>
      <c r="F9" s="6">
        <v>2.25</v>
      </c>
      <c r="G9" s="6">
        <v>0.91666666666666674</v>
      </c>
      <c r="H9" s="6">
        <v>8.3333333333333343E-2</v>
      </c>
      <c r="I9" s="6">
        <v>0.58333333333333337</v>
      </c>
    </row>
    <row r="10" spans="1:9" x14ac:dyDescent="0.3">
      <c r="C10" s="6">
        <v>8333.9191963080757</v>
      </c>
      <c r="D10" s="6">
        <v>1899.9999999999995</v>
      </c>
      <c r="E10" s="6">
        <v>59.061172161172159</v>
      </c>
      <c r="F10" s="6">
        <v>223.51419413919405</v>
      </c>
      <c r="G10" s="6">
        <v>114.99999999999999</v>
      </c>
      <c r="H10" s="6">
        <v>1.0833333333333333</v>
      </c>
      <c r="I10" s="6">
        <v>1.7021456043956045</v>
      </c>
    </row>
    <row r="11" spans="1:9" x14ac:dyDescent="0.3">
      <c r="A11" t="s">
        <v>180</v>
      </c>
    </row>
    <row r="12" spans="1:9" x14ac:dyDescent="0.3">
      <c r="A12" t="s">
        <v>10</v>
      </c>
      <c r="B12" t="s">
        <v>1</v>
      </c>
      <c r="C12" t="s">
        <v>176</v>
      </c>
      <c r="D12" t="s">
        <v>2</v>
      </c>
      <c r="E12" t="s">
        <v>4</v>
      </c>
      <c r="F12" t="s">
        <v>3</v>
      </c>
      <c r="G12" t="s">
        <v>175</v>
      </c>
      <c r="H12" t="s">
        <v>5</v>
      </c>
      <c r="I12" t="s">
        <v>6</v>
      </c>
    </row>
    <row r="13" spans="1:9" x14ac:dyDescent="0.3">
      <c r="A13" t="s">
        <v>45</v>
      </c>
      <c r="B13">
        <v>200</v>
      </c>
      <c r="C13" s="21">
        <v>1931.6666666666667</v>
      </c>
      <c r="D13" s="10">
        <v>310</v>
      </c>
      <c r="E13" s="10">
        <v>21.333333333333336</v>
      </c>
      <c r="F13" s="10">
        <v>2.333333333333333</v>
      </c>
      <c r="G13" s="10">
        <v>25</v>
      </c>
      <c r="H13" s="10">
        <v>0</v>
      </c>
      <c r="I13" s="10">
        <v>0.33333333333333337</v>
      </c>
    </row>
    <row r="14" spans="1:9" x14ac:dyDescent="0.3">
      <c r="A14" t="s">
        <v>39</v>
      </c>
      <c r="B14">
        <v>200</v>
      </c>
      <c r="C14" s="21">
        <v>486.66666666666663</v>
      </c>
      <c r="D14" s="10">
        <v>116.66666666666667</v>
      </c>
      <c r="E14" s="10">
        <v>5.833333333333333</v>
      </c>
      <c r="F14" s="10">
        <v>9.1666666666666661</v>
      </c>
      <c r="G14" s="10">
        <v>6.666666666666667</v>
      </c>
      <c r="H14" s="10">
        <v>0</v>
      </c>
      <c r="I14" s="10">
        <v>0.13333333333333333</v>
      </c>
    </row>
    <row r="15" spans="1:9" x14ac:dyDescent="0.3">
      <c r="A15" t="s">
        <v>118</v>
      </c>
      <c r="B15">
        <v>200</v>
      </c>
      <c r="C15" s="21">
        <v>3429.9999999999995</v>
      </c>
      <c r="D15" s="10">
        <v>344</v>
      </c>
      <c r="E15" s="10">
        <v>18.600000000000001</v>
      </c>
      <c r="F15" s="10">
        <v>0</v>
      </c>
      <c r="G15" s="10">
        <v>41.8</v>
      </c>
      <c r="H15" s="10">
        <v>0</v>
      </c>
      <c r="I15" s="10">
        <v>0.2</v>
      </c>
    </row>
    <row r="16" spans="1:9" x14ac:dyDescent="0.3">
      <c r="A16" t="s">
        <v>65</v>
      </c>
      <c r="B16">
        <v>100</v>
      </c>
      <c r="C16" s="21">
        <v>295</v>
      </c>
      <c r="D16" s="10">
        <v>127.01149425287358</v>
      </c>
      <c r="E16" s="10">
        <v>3.6206896551724133</v>
      </c>
      <c r="F16" s="10">
        <v>21.609195402298852</v>
      </c>
      <c r="G16" s="10">
        <v>2.9885057471264367</v>
      </c>
      <c r="H16" s="10">
        <v>0</v>
      </c>
      <c r="I16" s="10">
        <v>5.7471264367816091E-2</v>
      </c>
    </row>
    <row r="17" spans="1:9" x14ac:dyDescent="0.3">
      <c r="A17" t="s">
        <v>159</v>
      </c>
      <c r="B17">
        <v>160</v>
      </c>
      <c r="C17" s="21">
        <v>840</v>
      </c>
      <c r="D17" s="10">
        <v>360</v>
      </c>
      <c r="E17" s="10">
        <v>12</v>
      </c>
      <c r="F17" s="10">
        <v>48</v>
      </c>
      <c r="G17" s="10">
        <v>8</v>
      </c>
      <c r="H17" s="10">
        <v>8</v>
      </c>
      <c r="I17" s="10">
        <v>0.38</v>
      </c>
    </row>
    <row r="18" spans="1:9" x14ac:dyDescent="0.3">
      <c r="A18" t="s">
        <v>49</v>
      </c>
      <c r="B18">
        <v>45</v>
      </c>
      <c r="C18" s="21">
        <v>209.00000000000003</v>
      </c>
      <c r="D18" s="10">
        <v>110.00000000000001</v>
      </c>
      <c r="E18" s="10">
        <v>1.5</v>
      </c>
      <c r="F18" s="10">
        <v>19</v>
      </c>
      <c r="G18" s="10">
        <v>4</v>
      </c>
      <c r="H18" s="10">
        <v>1</v>
      </c>
      <c r="I18" s="10">
        <v>0.22</v>
      </c>
    </row>
    <row r="19" spans="1:9" x14ac:dyDescent="0.3">
      <c r="A19" t="s">
        <v>56</v>
      </c>
      <c r="B19">
        <v>45</v>
      </c>
      <c r="C19" s="21">
        <v>1135.5882352941176</v>
      </c>
      <c r="D19" s="10">
        <v>52.5</v>
      </c>
      <c r="E19" s="10">
        <v>0.75</v>
      </c>
      <c r="F19" s="10">
        <v>0</v>
      </c>
      <c r="G19" s="10">
        <v>11.25</v>
      </c>
      <c r="H19" s="10">
        <v>0</v>
      </c>
      <c r="I19" s="10">
        <v>0.22500000000000001</v>
      </c>
    </row>
    <row r="20" spans="1:9" x14ac:dyDescent="0.3">
      <c r="A20" t="s">
        <v>35</v>
      </c>
      <c r="B20">
        <v>286.20690348698764</v>
      </c>
      <c r="C20" s="21">
        <v>556.67242728219094</v>
      </c>
      <c r="D20" s="10">
        <v>249.00000603367926</v>
      </c>
      <c r="E20" s="10">
        <v>0.28620690348698763</v>
      </c>
      <c r="F20" s="10">
        <v>51.946552982888257</v>
      </c>
      <c r="G20" s="10">
        <v>5.2948277145092719</v>
      </c>
      <c r="H20" s="10">
        <v>5.7241380697397526</v>
      </c>
      <c r="I20" s="10">
        <v>0.71551725871746907</v>
      </c>
    </row>
    <row r="21" spans="1:9" x14ac:dyDescent="0.3">
      <c r="A21" t="s">
        <v>169</v>
      </c>
      <c r="B21">
        <v>50</v>
      </c>
      <c r="C21" s="21">
        <v>848.75000000000011</v>
      </c>
      <c r="D21" s="10">
        <v>120</v>
      </c>
      <c r="E21" s="10">
        <v>10</v>
      </c>
      <c r="F21" s="10">
        <v>1</v>
      </c>
      <c r="G21" s="10">
        <v>10</v>
      </c>
      <c r="H21" s="10">
        <v>0</v>
      </c>
      <c r="I21" s="10">
        <v>0.27</v>
      </c>
    </row>
    <row r="22" spans="1:9" x14ac:dyDescent="0.3">
      <c r="B22">
        <v>1286.2069034869876</v>
      </c>
      <c r="C22" s="21">
        <v>9733.3439959096413</v>
      </c>
      <c r="D22" s="10">
        <v>1789.1781669532197</v>
      </c>
      <c r="E22" s="10">
        <v>73.923563225326063</v>
      </c>
      <c r="F22" s="10">
        <v>153.05574838518712</v>
      </c>
      <c r="G22" s="10">
        <v>115.00000012830237</v>
      </c>
      <c r="H22" s="10">
        <v>14.724138069739752</v>
      </c>
      <c r="I22" s="10">
        <v>2.5346551897519523</v>
      </c>
    </row>
    <row r="24" spans="1:9" x14ac:dyDescent="0.3">
      <c r="A24" t="s">
        <v>181</v>
      </c>
    </row>
    <row r="25" spans="1:9" x14ac:dyDescent="0.3">
      <c r="A25" t="s">
        <v>10</v>
      </c>
      <c r="B25" t="s">
        <v>1</v>
      </c>
      <c r="C25" t="s">
        <v>176</v>
      </c>
      <c r="D25" t="s">
        <v>2</v>
      </c>
      <c r="E25" t="s">
        <v>4</v>
      </c>
      <c r="F25" t="s">
        <v>3</v>
      </c>
      <c r="G25" t="s">
        <v>175</v>
      </c>
      <c r="H25" t="s">
        <v>5</v>
      </c>
      <c r="I25" t="s">
        <v>6</v>
      </c>
    </row>
    <row r="26" spans="1:9" x14ac:dyDescent="0.3">
      <c r="A26" t="s">
        <v>45</v>
      </c>
      <c r="B26">
        <v>200</v>
      </c>
      <c r="C26" s="21">
        <v>1931.6666666666667</v>
      </c>
      <c r="D26" s="10">
        <v>310</v>
      </c>
      <c r="E26" s="10">
        <v>21.333333333333336</v>
      </c>
      <c r="F26" s="10">
        <v>2.333333333333333</v>
      </c>
      <c r="G26" s="10">
        <v>25</v>
      </c>
      <c r="H26" s="10">
        <v>0</v>
      </c>
      <c r="I26" s="10">
        <v>0.33333333333333337</v>
      </c>
    </row>
    <row r="27" spans="1:9" x14ac:dyDescent="0.3">
      <c r="A27" t="s">
        <v>39</v>
      </c>
      <c r="B27">
        <v>200</v>
      </c>
      <c r="C27" s="21">
        <v>486.66666666666663</v>
      </c>
      <c r="D27" s="10">
        <v>116.66666666666667</v>
      </c>
      <c r="E27" s="10">
        <v>5.833333333333333</v>
      </c>
      <c r="F27" s="10">
        <v>9.1666666666666661</v>
      </c>
      <c r="G27" s="10">
        <v>6.666666666666667</v>
      </c>
      <c r="H27" s="10">
        <v>0</v>
      </c>
      <c r="I27" s="10">
        <v>0.13333333333333333</v>
      </c>
    </row>
    <row r="28" spans="1:9" x14ac:dyDescent="0.3">
      <c r="A28" t="s">
        <v>118</v>
      </c>
      <c r="B28">
        <v>200</v>
      </c>
      <c r="C28" s="21">
        <v>3429.9999999999995</v>
      </c>
      <c r="D28" s="10">
        <v>344</v>
      </c>
      <c r="E28" s="10">
        <v>18.600000000000001</v>
      </c>
      <c r="F28" s="10">
        <v>0</v>
      </c>
      <c r="G28" s="10">
        <v>41.8</v>
      </c>
      <c r="H28" s="10">
        <v>0</v>
      </c>
      <c r="I28" s="10">
        <v>0.2</v>
      </c>
    </row>
    <row r="29" spans="1:9" x14ac:dyDescent="0.3">
      <c r="A29" t="s">
        <v>65</v>
      </c>
      <c r="B29">
        <v>100</v>
      </c>
      <c r="C29" s="21">
        <v>295</v>
      </c>
      <c r="D29" s="10">
        <v>127.01149425287358</v>
      </c>
      <c r="E29" s="10">
        <v>3.6206896551724133</v>
      </c>
      <c r="F29" s="10">
        <v>21.609195402298852</v>
      </c>
      <c r="G29" s="10">
        <v>2.9885057471264367</v>
      </c>
      <c r="H29" s="10">
        <v>0</v>
      </c>
      <c r="I29" s="10">
        <v>5.7471264367816091E-2</v>
      </c>
    </row>
    <row r="30" spans="1:9" x14ac:dyDescent="0.3">
      <c r="A30" t="s">
        <v>159</v>
      </c>
      <c r="B30">
        <v>160</v>
      </c>
      <c r="C30" s="21">
        <v>840</v>
      </c>
      <c r="D30" s="10">
        <v>360</v>
      </c>
      <c r="E30" s="10">
        <v>12</v>
      </c>
      <c r="F30" s="10">
        <v>48</v>
      </c>
      <c r="G30" s="10">
        <v>8</v>
      </c>
      <c r="H30" s="10">
        <v>8</v>
      </c>
      <c r="I30" s="10">
        <v>0.38</v>
      </c>
    </row>
    <row r="31" spans="1:9" x14ac:dyDescent="0.3">
      <c r="A31" t="s">
        <v>49</v>
      </c>
      <c r="B31">
        <v>45</v>
      </c>
      <c r="C31" s="21">
        <v>209.00000000000003</v>
      </c>
      <c r="D31" s="10">
        <v>110.00000000000001</v>
      </c>
      <c r="E31" s="10">
        <v>1.5</v>
      </c>
      <c r="F31" s="10">
        <v>19</v>
      </c>
      <c r="G31" s="10">
        <v>4</v>
      </c>
      <c r="H31" s="10">
        <v>1</v>
      </c>
      <c r="I31" s="10">
        <v>0.22</v>
      </c>
    </row>
    <row r="32" spans="1:9" x14ac:dyDescent="0.3">
      <c r="A32" t="s">
        <v>35</v>
      </c>
      <c r="B32">
        <v>387.76069427289912</v>
      </c>
      <c r="C32" s="21">
        <v>754.19455036078875</v>
      </c>
      <c r="D32" s="10">
        <v>337.35180401742224</v>
      </c>
      <c r="E32" s="10">
        <v>0.38776069427289911</v>
      </c>
      <c r="F32" s="10">
        <v>70.378566010531188</v>
      </c>
      <c r="G32" s="10">
        <v>7.1735728440486346</v>
      </c>
      <c r="H32" s="10">
        <v>7.7552138854579828</v>
      </c>
      <c r="I32" s="10">
        <v>0.96940173568224786</v>
      </c>
    </row>
    <row r="33" spans="1:9" x14ac:dyDescent="0.3">
      <c r="A33" t="s">
        <v>158</v>
      </c>
      <c r="B33">
        <v>67.473033459719389</v>
      </c>
      <c r="C33" s="21">
        <v>1346.7617478559991</v>
      </c>
      <c r="D33" s="10">
        <v>74.970037177465997</v>
      </c>
      <c r="E33" s="10">
        <v>1.8742509294366496</v>
      </c>
      <c r="F33" s="10">
        <v>5.6227527883099491</v>
      </c>
      <c r="G33" s="10">
        <v>9.3712546471832496</v>
      </c>
      <c r="H33" s="10">
        <v>0</v>
      </c>
      <c r="I33" s="10">
        <v>1.2744906320169218</v>
      </c>
    </row>
    <row r="34" spans="1:9" x14ac:dyDescent="0.3">
      <c r="A34" t="s">
        <v>169</v>
      </c>
      <c r="B34">
        <v>50</v>
      </c>
      <c r="C34" s="21">
        <v>848.75000000000011</v>
      </c>
      <c r="D34" s="10">
        <v>120</v>
      </c>
      <c r="E34" s="10">
        <v>10</v>
      </c>
      <c r="F34" s="10">
        <v>1</v>
      </c>
      <c r="G34" s="10">
        <v>10</v>
      </c>
      <c r="H34" s="10">
        <v>0</v>
      </c>
      <c r="I34" s="10">
        <v>0.27</v>
      </c>
    </row>
    <row r="35" spans="1:9" x14ac:dyDescent="0.3">
      <c r="B35">
        <v>1410.2337277326185</v>
      </c>
      <c r="C35" s="21">
        <v>10142.03963155012</v>
      </c>
      <c r="D35" s="10">
        <v>1900.0000021144288</v>
      </c>
      <c r="E35" s="10">
        <v>75.149367945548633</v>
      </c>
      <c r="F35" s="10">
        <v>177.11051420113998</v>
      </c>
      <c r="G35" s="10">
        <v>114.99999990502499</v>
      </c>
      <c r="H35" s="10">
        <v>16.755213885457984</v>
      </c>
      <c r="I35" s="10">
        <v>3.8380302987336523</v>
      </c>
    </row>
    <row r="37" spans="1:9" x14ac:dyDescent="0.3">
      <c r="A37" t="s">
        <v>182</v>
      </c>
    </row>
    <row r="38" spans="1:9" x14ac:dyDescent="0.3">
      <c r="A38" t="s">
        <v>10</v>
      </c>
      <c r="B38" t="s">
        <v>1</v>
      </c>
      <c r="C38" t="s">
        <v>176</v>
      </c>
      <c r="D38" t="s">
        <v>2</v>
      </c>
      <c r="E38" t="s">
        <v>4</v>
      </c>
      <c r="F38" t="s">
        <v>3</v>
      </c>
      <c r="G38" t="s">
        <v>175</v>
      </c>
      <c r="H38" t="s">
        <v>5</v>
      </c>
      <c r="I38" t="s">
        <v>6</v>
      </c>
    </row>
    <row r="39" spans="1:9" x14ac:dyDescent="0.3">
      <c r="A39" t="s">
        <v>45</v>
      </c>
      <c r="B39">
        <v>200</v>
      </c>
      <c r="C39" s="21">
        <v>1931.6666666666667</v>
      </c>
      <c r="D39" s="10">
        <v>310</v>
      </c>
      <c r="E39" s="10">
        <v>21.333333333333336</v>
      </c>
      <c r="F39" s="10">
        <v>2.333333333333333</v>
      </c>
      <c r="G39" s="10">
        <v>25</v>
      </c>
      <c r="H39" s="10">
        <v>0</v>
      </c>
      <c r="I39" s="10">
        <v>0.33333333333333337</v>
      </c>
    </row>
    <row r="40" spans="1:9" x14ac:dyDescent="0.3">
      <c r="A40" t="s">
        <v>39</v>
      </c>
      <c r="B40">
        <v>200</v>
      </c>
      <c r="C40" s="21">
        <v>486.66666666666663</v>
      </c>
      <c r="D40" s="10">
        <v>116.66666666666667</v>
      </c>
      <c r="E40" s="10">
        <v>5.833333333333333</v>
      </c>
      <c r="F40" s="10">
        <v>9.1666666666666661</v>
      </c>
      <c r="G40" s="10">
        <v>6.666666666666667</v>
      </c>
      <c r="H40" s="10">
        <v>0</v>
      </c>
      <c r="I40" s="10">
        <v>0.13333333333333333</v>
      </c>
    </row>
    <row r="41" spans="1:9" x14ac:dyDescent="0.3">
      <c r="A41" t="s">
        <v>118</v>
      </c>
      <c r="B41">
        <v>200</v>
      </c>
      <c r="C41" s="21">
        <v>3429.9999999999995</v>
      </c>
      <c r="D41" s="10">
        <v>344</v>
      </c>
      <c r="E41" s="10">
        <v>18.600000000000001</v>
      </c>
      <c r="F41" s="10">
        <v>0</v>
      </c>
      <c r="G41" s="10">
        <v>41.8</v>
      </c>
      <c r="H41" s="10">
        <v>0</v>
      </c>
      <c r="I41" s="10">
        <v>0.2</v>
      </c>
    </row>
    <row r="42" spans="1:9" x14ac:dyDescent="0.3">
      <c r="A42" t="s">
        <v>65</v>
      </c>
      <c r="B42">
        <v>100</v>
      </c>
      <c r="C42" s="21">
        <v>295</v>
      </c>
      <c r="D42" s="10">
        <v>127.01149425287358</v>
      </c>
      <c r="E42" s="10">
        <v>3.6206896551724133</v>
      </c>
      <c r="F42" s="10">
        <v>21.609195402298852</v>
      </c>
      <c r="G42" s="10">
        <v>2.9885057471264367</v>
      </c>
      <c r="H42" s="10">
        <v>0</v>
      </c>
      <c r="I42" s="10">
        <v>5.7471264367816091E-2</v>
      </c>
    </row>
    <row r="43" spans="1:9" x14ac:dyDescent="0.3">
      <c r="A43" t="s">
        <v>159</v>
      </c>
      <c r="B43">
        <v>160</v>
      </c>
      <c r="C43" s="21">
        <v>840</v>
      </c>
      <c r="D43" s="10">
        <v>360</v>
      </c>
      <c r="E43" s="10">
        <v>12</v>
      </c>
      <c r="F43" s="10">
        <v>48</v>
      </c>
      <c r="G43" s="10">
        <v>8</v>
      </c>
      <c r="H43" s="10">
        <v>8</v>
      </c>
      <c r="I43" s="10">
        <v>0.38</v>
      </c>
    </row>
    <row r="44" spans="1:9" x14ac:dyDescent="0.3">
      <c r="A44" t="s">
        <v>148</v>
      </c>
      <c r="B44">
        <v>104.96304643241048</v>
      </c>
      <c r="C44" s="21">
        <v>2095.0624067909134</v>
      </c>
      <c r="D44" s="10">
        <v>167.94087429185677</v>
      </c>
      <c r="E44" s="10">
        <v>10.496304643241048</v>
      </c>
      <c r="F44" s="10">
        <v>4.1985218572964191</v>
      </c>
      <c r="G44" s="10">
        <v>14.694826500537468</v>
      </c>
      <c r="H44" s="10">
        <v>0</v>
      </c>
      <c r="I44" s="10">
        <v>1.0496304643241048</v>
      </c>
    </row>
    <row r="45" spans="1:9" x14ac:dyDescent="0.3">
      <c r="A45" t="s">
        <v>35</v>
      </c>
      <c r="B45">
        <v>100</v>
      </c>
      <c r="C45" s="21">
        <v>194.5</v>
      </c>
      <c r="D45" s="10">
        <v>87</v>
      </c>
      <c r="E45" s="10">
        <v>0.1</v>
      </c>
      <c r="F45" s="10">
        <v>18.149999999999999</v>
      </c>
      <c r="G45" s="10">
        <v>1.8500000000000003</v>
      </c>
      <c r="H45" s="10">
        <v>2</v>
      </c>
      <c r="I45" s="10">
        <v>0.25</v>
      </c>
    </row>
    <row r="46" spans="1:9" x14ac:dyDescent="0.3">
      <c r="A46" t="s">
        <v>169</v>
      </c>
      <c r="B46">
        <v>50</v>
      </c>
      <c r="C46" s="21">
        <v>848.75000000000011</v>
      </c>
      <c r="D46" s="10">
        <v>120</v>
      </c>
      <c r="E46" s="10">
        <v>10</v>
      </c>
      <c r="F46" s="10">
        <v>1</v>
      </c>
      <c r="G46" s="10">
        <v>10</v>
      </c>
      <c r="H46" s="10">
        <v>0</v>
      </c>
      <c r="I46" s="10">
        <v>0.27</v>
      </c>
    </row>
    <row r="47" spans="1:9" x14ac:dyDescent="0.3">
      <c r="B47">
        <v>1159.9630464324105</v>
      </c>
      <c r="C47" s="21">
        <v>10330.645740124246</v>
      </c>
      <c r="D47" s="10">
        <v>1742.6190352113972</v>
      </c>
      <c r="E47" s="10">
        <v>83.483660965080119</v>
      </c>
      <c r="F47" s="10">
        <v>123.45771725959526</v>
      </c>
      <c r="G47" s="10">
        <v>114.99999891433058</v>
      </c>
      <c r="H47" s="10">
        <v>11</v>
      </c>
      <c r="I47" s="10">
        <v>2.8937683953585878</v>
      </c>
    </row>
    <row r="49" spans="1:9" x14ac:dyDescent="0.3">
      <c r="A49" t="s">
        <v>183</v>
      </c>
    </row>
    <row r="50" spans="1:9" x14ac:dyDescent="0.3">
      <c r="A50" t="s">
        <v>10</v>
      </c>
      <c r="B50" t="s">
        <v>1</v>
      </c>
      <c r="C50" t="s">
        <v>176</v>
      </c>
      <c r="D50" t="s">
        <v>2</v>
      </c>
      <c r="E50" t="s">
        <v>4</v>
      </c>
      <c r="F50" t="s">
        <v>3</v>
      </c>
      <c r="G50" t="s">
        <v>175</v>
      </c>
      <c r="H50" t="s">
        <v>5</v>
      </c>
      <c r="I50" t="s">
        <v>6</v>
      </c>
    </row>
    <row r="51" spans="1:9" x14ac:dyDescent="0.3">
      <c r="A51" t="s">
        <v>45</v>
      </c>
      <c r="B51">
        <v>200</v>
      </c>
      <c r="C51" s="21">
        <v>1931.6666666666667</v>
      </c>
      <c r="D51" s="10">
        <v>310</v>
      </c>
      <c r="E51" s="10">
        <v>21.333333333333336</v>
      </c>
      <c r="F51" s="10">
        <v>2.333333333333333</v>
      </c>
      <c r="G51" s="10">
        <v>25</v>
      </c>
      <c r="H51" s="10">
        <v>0</v>
      </c>
      <c r="I51" s="10">
        <v>0.33333333333333337</v>
      </c>
    </row>
    <row r="52" spans="1:9" x14ac:dyDescent="0.3">
      <c r="A52" t="s">
        <v>39</v>
      </c>
      <c r="B52">
        <v>200</v>
      </c>
      <c r="C52" s="21">
        <v>486.66666666666663</v>
      </c>
      <c r="D52" s="10">
        <v>116.66666666666667</v>
      </c>
      <c r="E52" s="10">
        <v>5.833333333333333</v>
      </c>
      <c r="F52" s="10">
        <v>9.1666666666666661</v>
      </c>
      <c r="G52" s="10">
        <v>6.666666666666667</v>
      </c>
      <c r="H52" s="10">
        <v>0</v>
      </c>
      <c r="I52" s="10">
        <v>0.13333333333333333</v>
      </c>
    </row>
    <row r="53" spans="1:9" x14ac:dyDescent="0.3">
      <c r="A53" t="s">
        <v>118</v>
      </c>
      <c r="B53">
        <v>200</v>
      </c>
      <c r="C53" s="21">
        <v>3429.9999999999995</v>
      </c>
      <c r="D53" s="10">
        <v>344</v>
      </c>
      <c r="E53" s="10">
        <v>18.600000000000001</v>
      </c>
      <c r="F53" s="10">
        <v>0</v>
      </c>
      <c r="G53" s="10">
        <v>41.8</v>
      </c>
      <c r="H53" s="10">
        <v>0</v>
      </c>
      <c r="I53" s="10">
        <v>0.2</v>
      </c>
    </row>
    <row r="54" spans="1:9" x14ac:dyDescent="0.3">
      <c r="A54" t="s">
        <v>65</v>
      </c>
      <c r="B54">
        <v>100</v>
      </c>
      <c r="C54" s="21">
        <v>295</v>
      </c>
      <c r="D54" s="10">
        <v>127.01149425287358</v>
      </c>
      <c r="E54" s="10">
        <v>3.6206896551724133</v>
      </c>
      <c r="F54" s="10">
        <v>21.609195402298852</v>
      </c>
      <c r="G54" s="10">
        <v>2.9885057471264367</v>
      </c>
      <c r="H54" s="10">
        <v>0</v>
      </c>
      <c r="I54" s="10">
        <v>5.7471264367816091E-2</v>
      </c>
    </row>
    <row r="55" spans="1:9" x14ac:dyDescent="0.3">
      <c r="A55" t="s">
        <v>159</v>
      </c>
      <c r="B55">
        <v>160</v>
      </c>
      <c r="C55" s="21">
        <v>840</v>
      </c>
      <c r="D55" s="10">
        <v>360</v>
      </c>
      <c r="E55" s="10">
        <v>12</v>
      </c>
      <c r="F55" s="10">
        <v>48</v>
      </c>
      <c r="G55" s="10">
        <v>8</v>
      </c>
      <c r="H55" s="10">
        <v>8</v>
      </c>
      <c r="I55" s="10">
        <v>0.38</v>
      </c>
    </row>
    <row r="56" spans="1:9" x14ac:dyDescent="0.3">
      <c r="A56" t="s">
        <v>49</v>
      </c>
      <c r="B56">
        <v>45</v>
      </c>
      <c r="C56" s="21">
        <v>209.00000000000003</v>
      </c>
      <c r="D56" s="10">
        <v>110.00000000000001</v>
      </c>
      <c r="E56" s="10">
        <v>1.5</v>
      </c>
      <c r="F56" s="10">
        <v>19</v>
      </c>
      <c r="G56" s="10">
        <v>4</v>
      </c>
      <c r="H56" s="10">
        <v>1</v>
      </c>
      <c r="I56" s="10">
        <v>0.22</v>
      </c>
    </row>
    <row r="57" spans="1:9" x14ac:dyDescent="0.3">
      <c r="A57" t="s">
        <v>148</v>
      </c>
      <c r="B57">
        <v>118.17734021891717</v>
      </c>
      <c r="C57" s="21">
        <v>2358.8197107695869</v>
      </c>
      <c r="D57" s="10">
        <v>189.08374435026747</v>
      </c>
      <c r="E57" s="10">
        <v>11.817734021891717</v>
      </c>
      <c r="F57" s="10">
        <v>4.7270936087566868</v>
      </c>
      <c r="G57" s="10">
        <v>16.544827630648406</v>
      </c>
      <c r="H57" s="10">
        <v>0</v>
      </c>
      <c r="I57" s="10">
        <v>1.1817734021891717</v>
      </c>
    </row>
    <row r="58" spans="1:9" x14ac:dyDescent="0.3">
      <c r="A58" t="s">
        <v>169</v>
      </c>
      <c r="B58">
        <v>50</v>
      </c>
      <c r="C58" s="21">
        <v>848.75000000000011</v>
      </c>
      <c r="D58" s="10">
        <v>120</v>
      </c>
      <c r="E58" s="10">
        <v>10</v>
      </c>
      <c r="F58" s="10">
        <v>1</v>
      </c>
      <c r="G58" s="10">
        <v>10</v>
      </c>
      <c r="H58" s="10">
        <v>0</v>
      </c>
      <c r="I58" s="10">
        <v>0.27</v>
      </c>
    </row>
    <row r="59" spans="1:9" x14ac:dyDescent="0.3">
      <c r="B59">
        <v>1073.1773402189172</v>
      </c>
      <c r="C59" s="21">
        <v>10399.903044102921</v>
      </c>
      <c r="D59" s="10">
        <v>1676.7619052698078</v>
      </c>
      <c r="E59" s="10">
        <v>84.705090343730802</v>
      </c>
      <c r="F59" s="10">
        <v>105.83628901105554</v>
      </c>
      <c r="G59" s="10">
        <v>115.00000004444152</v>
      </c>
      <c r="H59" s="10">
        <v>9</v>
      </c>
      <c r="I59" s="10">
        <v>2.7759113332236547</v>
      </c>
    </row>
    <row r="62" spans="1:9" x14ac:dyDescent="0.3">
      <c r="A62" t="s">
        <v>184</v>
      </c>
    </row>
    <row r="63" spans="1:9" x14ac:dyDescent="0.3">
      <c r="A63" t="s">
        <v>10</v>
      </c>
      <c r="B63" t="s">
        <v>1</v>
      </c>
      <c r="C63" t="s">
        <v>176</v>
      </c>
      <c r="D63" t="s">
        <v>2</v>
      </c>
      <c r="E63" t="s">
        <v>4</v>
      </c>
      <c r="F63" t="s">
        <v>3</v>
      </c>
      <c r="G63" t="s">
        <v>175</v>
      </c>
      <c r="H63" t="s">
        <v>5</v>
      </c>
      <c r="I63" t="s">
        <v>6</v>
      </c>
    </row>
    <row r="64" spans="1:9" x14ac:dyDescent="0.3">
      <c r="A64" t="s">
        <v>71</v>
      </c>
      <c r="B64">
        <v>15.672414166782692</v>
      </c>
      <c r="C64" s="21">
        <v>169.70985626316116</v>
      </c>
      <c r="D64" s="10">
        <v>57.465518611536538</v>
      </c>
      <c r="E64" s="10">
        <v>0.52241380555942307</v>
      </c>
      <c r="F64" s="10">
        <v>10.970689916747885</v>
      </c>
      <c r="G64" s="10">
        <v>1.0448276111188461</v>
      </c>
      <c r="H64" s="10">
        <v>1.5672414166782693</v>
      </c>
      <c r="I64" s="10">
        <v>1.5672414166782694E-2</v>
      </c>
    </row>
    <row r="65" spans="1:9" x14ac:dyDescent="0.3">
      <c r="A65" t="s">
        <v>45</v>
      </c>
      <c r="B65">
        <v>200</v>
      </c>
      <c r="C65" s="21">
        <v>1931.6666666666667</v>
      </c>
      <c r="D65" s="10">
        <v>310</v>
      </c>
      <c r="E65" s="10">
        <v>21.333333333333336</v>
      </c>
      <c r="F65" s="10">
        <v>2.333333333333333</v>
      </c>
      <c r="G65" s="10">
        <v>25</v>
      </c>
      <c r="H65" s="10">
        <v>0</v>
      </c>
      <c r="I65" s="10">
        <v>0.33333333333333337</v>
      </c>
    </row>
    <row r="66" spans="1:9" x14ac:dyDescent="0.3">
      <c r="A66" t="s">
        <v>39</v>
      </c>
      <c r="B66">
        <v>200</v>
      </c>
      <c r="C66" s="21">
        <v>486.66666666666663</v>
      </c>
      <c r="D66" s="10">
        <v>116.66666666666667</v>
      </c>
      <c r="E66" s="10">
        <v>5.833333333333333</v>
      </c>
      <c r="F66" s="10">
        <v>9.1666666666666661</v>
      </c>
      <c r="G66" s="10">
        <v>6.666666666666667</v>
      </c>
      <c r="H66" s="10">
        <v>0</v>
      </c>
      <c r="I66" s="10">
        <v>0.13333333333333333</v>
      </c>
    </row>
    <row r="67" spans="1:9" x14ac:dyDescent="0.3">
      <c r="A67" t="s">
        <v>118</v>
      </c>
      <c r="B67">
        <v>200</v>
      </c>
      <c r="C67" s="21">
        <v>3429.9999999999995</v>
      </c>
      <c r="D67" s="10">
        <v>344</v>
      </c>
      <c r="E67" s="10">
        <v>18.600000000000001</v>
      </c>
      <c r="F67" s="10">
        <v>0</v>
      </c>
      <c r="G67" s="10">
        <v>41.8</v>
      </c>
      <c r="H67" s="10">
        <v>0</v>
      </c>
      <c r="I67" s="10">
        <v>0.2</v>
      </c>
    </row>
    <row r="68" spans="1:9" x14ac:dyDescent="0.3">
      <c r="A68" t="s">
        <v>65</v>
      </c>
      <c r="B68">
        <v>100</v>
      </c>
      <c r="C68" s="21">
        <v>295</v>
      </c>
      <c r="D68" s="10">
        <v>127.01149425287358</v>
      </c>
      <c r="E68" s="10">
        <v>3.6206896551724133</v>
      </c>
      <c r="F68" s="10">
        <v>21.609195402298852</v>
      </c>
      <c r="G68" s="10">
        <v>2.9885057471264367</v>
      </c>
      <c r="H68" s="10">
        <v>0</v>
      </c>
      <c r="I68" s="10">
        <v>5.7471264367816091E-2</v>
      </c>
    </row>
    <row r="69" spans="1:9" x14ac:dyDescent="0.3">
      <c r="A69" t="s">
        <v>159</v>
      </c>
      <c r="B69">
        <v>160</v>
      </c>
      <c r="C69" s="21">
        <v>840</v>
      </c>
      <c r="D69" s="10">
        <v>360</v>
      </c>
      <c r="E69" s="10">
        <v>12</v>
      </c>
      <c r="F69" s="10">
        <v>48</v>
      </c>
      <c r="G69" s="10">
        <v>8</v>
      </c>
      <c r="H69" s="10">
        <v>8</v>
      </c>
      <c r="I69" s="10">
        <v>0.38</v>
      </c>
    </row>
    <row r="70" spans="1:9" x14ac:dyDescent="0.3">
      <c r="A70" t="s">
        <v>49</v>
      </c>
      <c r="B70">
        <v>45</v>
      </c>
      <c r="C70" s="21">
        <v>209.00000000000003</v>
      </c>
      <c r="D70" s="10">
        <v>110.00000000000001</v>
      </c>
      <c r="E70" s="10">
        <v>1.5</v>
      </c>
      <c r="F70" s="10">
        <v>19</v>
      </c>
      <c r="G70" s="10">
        <v>4</v>
      </c>
      <c r="H70" s="10">
        <v>1</v>
      </c>
      <c r="I70" s="10">
        <v>0.22</v>
      </c>
    </row>
    <row r="71" spans="1:9" x14ac:dyDescent="0.3">
      <c r="A71" t="s">
        <v>148</v>
      </c>
      <c r="B71">
        <v>50</v>
      </c>
      <c r="C71" s="21">
        <v>998</v>
      </c>
      <c r="D71" s="10">
        <v>80</v>
      </c>
      <c r="E71" s="10">
        <v>5</v>
      </c>
      <c r="F71" s="10">
        <v>2</v>
      </c>
      <c r="G71" s="10">
        <v>7.0000000000000009</v>
      </c>
      <c r="H71" s="10">
        <v>0</v>
      </c>
      <c r="I71" s="10">
        <v>0.5</v>
      </c>
    </row>
    <row r="72" spans="1:9" x14ac:dyDescent="0.3">
      <c r="A72" t="s">
        <v>46</v>
      </c>
      <c r="B72">
        <v>30</v>
      </c>
      <c r="C72" s="21">
        <v>150</v>
      </c>
      <c r="D72" s="10">
        <v>30</v>
      </c>
      <c r="E72" s="10">
        <v>0</v>
      </c>
      <c r="F72" s="10">
        <v>5</v>
      </c>
      <c r="G72" s="10">
        <v>1</v>
      </c>
      <c r="H72" s="10">
        <v>1</v>
      </c>
      <c r="I72" s="10">
        <v>0.34</v>
      </c>
    </row>
    <row r="73" spans="1:9" x14ac:dyDescent="0.3">
      <c r="A73" t="s">
        <v>158</v>
      </c>
      <c r="B73">
        <v>54</v>
      </c>
      <c r="C73" s="21">
        <v>1077.8400000000001</v>
      </c>
      <c r="D73" s="10">
        <v>60</v>
      </c>
      <c r="E73" s="10">
        <v>1.5</v>
      </c>
      <c r="F73" s="10">
        <v>4.5</v>
      </c>
      <c r="G73" s="10">
        <v>7.5</v>
      </c>
      <c r="H73" s="10">
        <v>0</v>
      </c>
      <c r="I73" s="10">
        <v>1.02</v>
      </c>
    </row>
    <row r="74" spans="1:9" x14ac:dyDescent="0.3">
      <c r="A74" t="s">
        <v>169</v>
      </c>
      <c r="B74">
        <v>50</v>
      </c>
      <c r="C74" s="21">
        <v>848.75000000000011</v>
      </c>
      <c r="D74" s="10">
        <v>120</v>
      </c>
      <c r="E74" s="10">
        <v>10</v>
      </c>
      <c r="F74" s="10">
        <v>1</v>
      </c>
      <c r="G74" s="10">
        <v>10</v>
      </c>
      <c r="H74" s="10">
        <v>0</v>
      </c>
      <c r="I74" s="10">
        <v>0.27</v>
      </c>
    </row>
    <row r="75" spans="1:9" x14ac:dyDescent="0.3">
      <c r="B75">
        <v>1104.6724141667828</v>
      </c>
      <c r="C75" s="21">
        <v>10436.633189596494</v>
      </c>
      <c r="D75" s="10">
        <v>1715.1436795310769</v>
      </c>
      <c r="E75" s="10">
        <v>79.909770127398502</v>
      </c>
      <c r="F75" s="10">
        <v>123.57988531904674</v>
      </c>
      <c r="G75" s="10">
        <v>115.00000002491196</v>
      </c>
      <c r="H75" s="10">
        <v>11.56724141667827</v>
      </c>
      <c r="I75" s="10">
        <v>3.4698103452012656</v>
      </c>
    </row>
    <row r="77" spans="1:9" x14ac:dyDescent="0.3">
      <c r="A77" t="s">
        <v>185</v>
      </c>
    </row>
    <row r="78" spans="1:9" x14ac:dyDescent="0.3">
      <c r="A78" t="s">
        <v>10</v>
      </c>
      <c r="B78" t="s">
        <v>1</v>
      </c>
      <c r="C78" t="s">
        <v>176</v>
      </c>
      <c r="D78" t="s">
        <v>2</v>
      </c>
      <c r="E78" t="s">
        <v>4</v>
      </c>
      <c r="F78" t="s">
        <v>3</v>
      </c>
      <c r="G78" t="s">
        <v>175</v>
      </c>
      <c r="H78" t="s">
        <v>5</v>
      </c>
      <c r="I78" t="s">
        <v>6</v>
      </c>
    </row>
    <row r="79" spans="1:9" x14ac:dyDescent="0.3">
      <c r="A79" t="s">
        <v>71</v>
      </c>
      <c r="B79">
        <v>150.67241332109322</v>
      </c>
      <c r="C79" s="21">
        <v>1631.5669899626953</v>
      </c>
      <c r="D79" s="10">
        <v>552.46551551067512</v>
      </c>
      <c r="E79" s="10">
        <v>5.0224137773697741</v>
      </c>
      <c r="F79" s="10">
        <v>105.47068932476525</v>
      </c>
      <c r="G79" s="10">
        <v>10.044827554739548</v>
      </c>
      <c r="H79" s="10">
        <v>15.067241332109322</v>
      </c>
      <c r="I79" s="10">
        <v>0.15067241332109321</v>
      </c>
    </row>
    <row r="80" spans="1:9" x14ac:dyDescent="0.3">
      <c r="A80" t="s">
        <v>45</v>
      </c>
      <c r="B80">
        <v>200</v>
      </c>
      <c r="C80" s="21">
        <v>1931.6666666666667</v>
      </c>
      <c r="D80" s="10">
        <v>310</v>
      </c>
      <c r="E80" s="10">
        <v>21.333333333333336</v>
      </c>
      <c r="F80" s="10">
        <v>2.333333333333333</v>
      </c>
      <c r="G80" s="10">
        <v>25</v>
      </c>
      <c r="H80" s="10">
        <v>0</v>
      </c>
      <c r="I80" s="10">
        <v>0.33333333333333337</v>
      </c>
    </row>
    <row r="81" spans="1:9" x14ac:dyDescent="0.3">
      <c r="A81" t="s">
        <v>39</v>
      </c>
      <c r="B81">
        <v>200</v>
      </c>
      <c r="C81" s="21">
        <v>486.66666666666663</v>
      </c>
      <c r="D81" s="10">
        <v>116.66666666666667</v>
      </c>
      <c r="E81" s="10">
        <v>5.833333333333333</v>
      </c>
      <c r="F81" s="10">
        <v>9.1666666666666661</v>
      </c>
      <c r="G81" s="10">
        <v>6.666666666666667</v>
      </c>
      <c r="H81" s="10">
        <v>0</v>
      </c>
      <c r="I81" s="10">
        <v>0.13333333333333333</v>
      </c>
    </row>
    <row r="82" spans="1:9" x14ac:dyDescent="0.3">
      <c r="A82" t="s">
        <v>118</v>
      </c>
      <c r="B82">
        <v>200</v>
      </c>
      <c r="C82" s="21">
        <v>3429.9999999999995</v>
      </c>
      <c r="D82" s="10">
        <v>344</v>
      </c>
      <c r="E82" s="10">
        <v>18.600000000000001</v>
      </c>
      <c r="F82" s="10">
        <v>0</v>
      </c>
      <c r="G82" s="10">
        <v>41.8</v>
      </c>
      <c r="H82" s="10">
        <v>0</v>
      </c>
      <c r="I82" s="10">
        <v>0.2</v>
      </c>
    </row>
    <row r="83" spans="1:9" x14ac:dyDescent="0.3">
      <c r="A83" t="s">
        <v>65</v>
      </c>
      <c r="B83">
        <v>100</v>
      </c>
      <c r="C83" s="21">
        <v>295</v>
      </c>
      <c r="D83" s="10">
        <v>127.01149425287358</v>
      </c>
      <c r="E83" s="10">
        <v>3.6206896551724133</v>
      </c>
      <c r="F83" s="10">
        <v>21.609195402298852</v>
      </c>
      <c r="G83" s="10">
        <v>2.9885057471264367</v>
      </c>
      <c r="H83" s="10">
        <v>0</v>
      </c>
      <c r="I83" s="10">
        <v>5.7471264367816091E-2</v>
      </c>
    </row>
    <row r="84" spans="1:9" x14ac:dyDescent="0.3">
      <c r="A84" t="s">
        <v>49</v>
      </c>
      <c r="B84">
        <v>45</v>
      </c>
      <c r="C84" s="21">
        <v>209.00000000000003</v>
      </c>
      <c r="D84" s="10">
        <v>110.00000000000001</v>
      </c>
      <c r="E84" s="10">
        <v>1.5</v>
      </c>
      <c r="F84" s="10">
        <v>19</v>
      </c>
      <c r="G84" s="10">
        <v>4</v>
      </c>
      <c r="H84" s="10">
        <v>1</v>
      </c>
      <c r="I84" s="10">
        <v>0.22</v>
      </c>
    </row>
    <row r="85" spans="1:9" x14ac:dyDescent="0.3">
      <c r="A85" t="s">
        <v>148</v>
      </c>
      <c r="B85">
        <v>50</v>
      </c>
      <c r="C85" s="21">
        <v>998</v>
      </c>
      <c r="D85" s="10">
        <v>80</v>
      </c>
      <c r="E85" s="10">
        <v>5</v>
      </c>
      <c r="F85" s="10">
        <v>2</v>
      </c>
      <c r="G85" s="10">
        <v>7.0000000000000009</v>
      </c>
      <c r="H85" s="10">
        <v>0</v>
      </c>
      <c r="I85" s="10">
        <v>0.5</v>
      </c>
    </row>
    <row r="86" spans="1:9" x14ac:dyDescent="0.3">
      <c r="A86" t="s">
        <v>158</v>
      </c>
      <c r="B86">
        <v>54</v>
      </c>
      <c r="C86" s="21">
        <v>1077.8400000000001</v>
      </c>
      <c r="D86" s="10">
        <v>60</v>
      </c>
      <c r="E86" s="10">
        <v>1.5</v>
      </c>
      <c r="F86" s="10">
        <v>4.5</v>
      </c>
      <c r="G86" s="10">
        <v>7.5</v>
      </c>
      <c r="H86" s="10">
        <v>0</v>
      </c>
      <c r="I86" s="10">
        <v>1.02</v>
      </c>
    </row>
    <row r="87" spans="1:9" x14ac:dyDescent="0.3">
      <c r="A87" t="s">
        <v>169</v>
      </c>
      <c r="B87">
        <v>50</v>
      </c>
      <c r="C87" s="21">
        <v>848.75000000000011</v>
      </c>
      <c r="D87" s="10">
        <v>120</v>
      </c>
      <c r="E87" s="10">
        <v>10</v>
      </c>
      <c r="F87" s="10">
        <v>1</v>
      </c>
      <c r="G87" s="10">
        <v>10</v>
      </c>
      <c r="H87" s="10">
        <v>0</v>
      </c>
      <c r="I87" s="10">
        <v>0.27</v>
      </c>
    </row>
    <row r="88" spans="1:9" x14ac:dyDescent="0.3">
      <c r="B88">
        <v>1049.6724133210932</v>
      </c>
      <c r="C88" s="21">
        <v>10908.490323296028</v>
      </c>
      <c r="D88" s="10">
        <v>1820.1436764302152</v>
      </c>
      <c r="E88" s="10">
        <v>72.409770099208856</v>
      </c>
      <c r="F88" s="10">
        <v>165.0798847270641</v>
      </c>
      <c r="G88" s="10">
        <v>114.99999996853265</v>
      </c>
      <c r="H88" s="10">
        <v>16.067241332109322</v>
      </c>
      <c r="I88" s="10">
        <v>2.8848103443555764</v>
      </c>
    </row>
    <row r="90" spans="1:9" x14ac:dyDescent="0.3">
      <c r="A90" t="s">
        <v>186</v>
      </c>
    </row>
    <row r="91" spans="1:9" x14ac:dyDescent="0.3">
      <c r="A91" t="s">
        <v>10</v>
      </c>
      <c r="B91" t="s">
        <v>1</v>
      </c>
      <c r="C91" t="s">
        <v>176</v>
      </c>
      <c r="D91" t="s">
        <v>2</v>
      </c>
      <c r="E91" t="s">
        <v>4</v>
      </c>
      <c r="F91" t="s">
        <v>3</v>
      </c>
      <c r="G91" t="s">
        <v>175</v>
      </c>
      <c r="H91" t="s">
        <v>5</v>
      </c>
      <c r="I91" t="s">
        <v>6</v>
      </c>
    </row>
    <row r="92" spans="1:9" x14ac:dyDescent="0.3">
      <c r="A92" t="s">
        <v>45</v>
      </c>
      <c r="B92">
        <v>200</v>
      </c>
      <c r="C92" s="21">
        <v>1931.6666666666667</v>
      </c>
      <c r="D92" s="10">
        <v>310</v>
      </c>
      <c r="E92" s="10">
        <v>21.333333333333336</v>
      </c>
      <c r="F92" s="10">
        <v>2.333333333333333</v>
      </c>
      <c r="G92" s="10">
        <v>25</v>
      </c>
      <c r="H92" s="10">
        <v>0</v>
      </c>
      <c r="I92" s="10">
        <v>0.33333333333333337</v>
      </c>
    </row>
    <row r="93" spans="1:9" x14ac:dyDescent="0.3">
      <c r="A93" t="s">
        <v>39</v>
      </c>
      <c r="B93">
        <v>200</v>
      </c>
      <c r="C93" s="21">
        <v>486.66666666666663</v>
      </c>
      <c r="D93" s="10">
        <v>116.66666666666667</v>
      </c>
      <c r="E93" s="10">
        <v>5.833333333333333</v>
      </c>
      <c r="F93" s="10">
        <v>9.1666666666666661</v>
      </c>
      <c r="G93" s="10">
        <v>6.666666666666667</v>
      </c>
      <c r="H93" s="10">
        <v>0</v>
      </c>
      <c r="I93" s="10">
        <v>0.13333333333333333</v>
      </c>
    </row>
    <row r="94" spans="1:9" x14ac:dyDescent="0.3">
      <c r="A94" t="s">
        <v>118</v>
      </c>
      <c r="B94">
        <v>200</v>
      </c>
      <c r="C94" s="21">
        <v>3429.9999999999995</v>
      </c>
      <c r="D94" s="10">
        <v>344</v>
      </c>
      <c r="E94" s="10">
        <v>18.600000000000001</v>
      </c>
      <c r="F94" s="10">
        <v>0</v>
      </c>
      <c r="G94" s="10">
        <v>41.8</v>
      </c>
      <c r="H94" s="10">
        <v>0</v>
      </c>
      <c r="I94" s="10">
        <v>0.2</v>
      </c>
    </row>
    <row r="95" spans="1:9" x14ac:dyDescent="0.3">
      <c r="A95" t="s">
        <v>65</v>
      </c>
      <c r="B95">
        <v>100</v>
      </c>
      <c r="C95" s="21">
        <v>295</v>
      </c>
      <c r="D95" s="10">
        <v>127.01149425287358</v>
      </c>
      <c r="E95" s="10">
        <v>3.6206896551724133</v>
      </c>
      <c r="F95" s="10">
        <v>21.609195402298852</v>
      </c>
      <c r="G95" s="10">
        <v>2.9885057471264367</v>
      </c>
      <c r="H95" s="10">
        <v>0</v>
      </c>
      <c r="I95" s="10">
        <v>5.7471264367816091E-2</v>
      </c>
    </row>
    <row r="96" spans="1:9" x14ac:dyDescent="0.3">
      <c r="A96" t="s">
        <v>37</v>
      </c>
      <c r="B96">
        <v>589.17678788039632</v>
      </c>
      <c r="C96" s="21">
        <v>1237.2712545488323</v>
      </c>
      <c r="D96" s="10">
        <v>207.72258547065258</v>
      </c>
      <c r="E96" s="10">
        <v>1.1330322843853775</v>
      </c>
      <c r="F96" s="10">
        <v>30.591871678405198</v>
      </c>
      <c r="G96" s="10">
        <v>4.53212913754151</v>
      </c>
      <c r="H96" s="10">
        <v>17.750839122037583</v>
      </c>
      <c r="I96" s="10">
        <v>1.8883871406422958</v>
      </c>
    </row>
    <row r="97" spans="1:9" x14ac:dyDescent="0.3">
      <c r="A97" t="s">
        <v>49</v>
      </c>
      <c r="B97">
        <v>45</v>
      </c>
      <c r="C97" s="21">
        <v>209.00000000000003</v>
      </c>
      <c r="D97" s="10">
        <v>110.00000000000001</v>
      </c>
      <c r="E97" s="10">
        <v>1.5</v>
      </c>
      <c r="F97" s="10">
        <v>19</v>
      </c>
      <c r="G97" s="10">
        <v>4</v>
      </c>
      <c r="H97" s="10">
        <v>1</v>
      </c>
      <c r="I97" s="10">
        <v>0.22</v>
      </c>
    </row>
    <row r="98" spans="1:9" x14ac:dyDescent="0.3">
      <c r="A98" t="s">
        <v>148</v>
      </c>
      <c r="B98">
        <v>50</v>
      </c>
      <c r="C98" s="21">
        <v>998</v>
      </c>
      <c r="D98" s="10">
        <v>80</v>
      </c>
      <c r="E98" s="10">
        <v>5</v>
      </c>
      <c r="F98" s="10">
        <v>2</v>
      </c>
      <c r="G98" s="10">
        <v>7.0000000000000009</v>
      </c>
      <c r="H98" s="10">
        <v>0</v>
      </c>
      <c r="I98" s="10">
        <v>0.5</v>
      </c>
    </row>
    <row r="99" spans="1:9" x14ac:dyDescent="0.3">
      <c r="A99" t="s">
        <v>55</v>
      </c>
      <c r="B99">
        <v>50</v>
      </c>
      <c r="C99" s="21">
        <v>523.68421052631572</v>
      </c>
      <c r="D99" s="10">
        <v>44.444444444444443</v>
      </c>
      <c r="E99" s="10">
        <v>0.27777777777777779</v>
      </c>
      <c r="F99" s="10">
        <v>7.5</v>
      </c>
      <c r="G99" s="10">
        <v>3.0555555555555558</v>
      </c>
      <c r="H99" s="10">
        <v>0.27777777777777779</v>
      </c>
      <c r="I99" s="10">
        <v>1.9444444444444444</v>
      </c>
    </row>
    <row r="100" spans="1:9" x14ac:dyDescent="0.3">
      <c r="A100" t="s">
        <v>69</v>
      </c>
      <c r="B100">
        <v>15.000000000000004</v>
      </c>
      <c r="C100" s="21">
        <v>240.65217391304355</v>
      </c>
      <c r="D100" s="10">
        <v>15.000000000000004</v>
      </c>
      <c r="E100" s="10">
        <v>0</v>
      </c>
      <c r="F100" s="10">
        <v>1.0000000000000002</v>
      </c>
      <c r="G100" s="10">
        <v>1.0000000000000002</v>
      </c>
      <c r="H100" s="10">
        <v>1.0000000000000002</v>
      </c>
      <c r="I100" s="10">
        <v>0</v>
      </c>
    </row>
    <row r="101" spans="1:9" x14ac:dyDescent="0.3">
      <c r="A101" t="s">
        <v>52</v>
      </c>
      <c r="B101">
        <v>59.999999999999993</v>
      </c>
      <c r="C101" s="21">
        <v>353.39999999999992</v>
      </c>
      <c r="D101" s="10">
        <v>21.428571428571427</v>
      </c>
      <c r="E101" s="10">
        <v>0.25714285714285712</v>
      </c>
      <c r="F101" s="10">
        <v>2.3142857142857145</v>
      </c>
      <c r="G101" s="10">
        <v>1.4571428571428569</v>
      </c>
      <c r="H101" s="10">
        <v>1.9714285714285711</v>
      </c>
      <c r="I101" s="10">
        <v>0.1714285714285714</v>
      </c>
    </row>
    <row r="102" spans="1:9" x14ac:dyDescent="0.3">
      <c r="A102" t="s">
        <v>158</v>
      </c>
      <c r="B102">
        <v>54</v>
      </c>
      <c r="C102" s="21">
        <v>1077.8400000000001</v>
      </c>
      <c r="D102" s="10">
        <v>60</v>
      </c>
      <c r="E102" s="10">
        <v>1.5</v>
      </c>
      <c r="F102" s="10">
        <v>4.5</v>
      </c>
      <c r="G102" s="10">
        <v>7.5</v>
      </c>
      <c r="H102" s="10">
        <v>0</v>
      </c>
      <c r="I102" s="10">
        <v>1.02</v>
      </c>
    </row>
    <row r="103" spans="1:9" x14ac:dyDescent="0.3">
      <c r="A103" t="s">
        <v>169</v>
      </c>
      <c r="B103">
        <v>50</v>
      </c>
      <c r="C103" s="21">
        <v>848.75000000000011</v>
      </c>
      <c r="D103" s="10">
        <v>120</v>
      </c>
      <c r="E103" s="10">
        <v>10</v>
      </c>
      <c r="F103" s="10">
        <v>1</v>
      </c>
      <c r="G103" s="10">
        <v>10</v>
      </c>
      <c r="H103" s="10">
        <v>0</v>
      </c>
      <c r="I103" s="10">
        <v>0.27</v>
      </c>
    </row>
    <row r="104" spans="1:9" x14ac:dyDescent="0.3">
      <c r="B104">
        <v>1613.1767878803962</v>
      </c>
      <c r="C104" s="21">
        <v>11631.930972321523</v>
      </c>
      <c r="D104" s="10">
        <v>1556.2737622632087</v>
      </c>
      <c r="E104" s="10">
        <v>69.055309241145096</v>
      </c>
      <c r="F104" s="10">
        <v>101.01535279498977</v>
      </c>
      <c r="G104" s="10">
        <v>114.99999996403302</v>
      </c>
      <c r="H104" s="10">
        <v>22.000045471243933</v>
      </c>
      <c r="I104" s="10">
        <v>6.7383980875497951</v>
      </c>
    </row>
    <row r="106" spans="1:9" x14ac:dyDescent="0.3">
      <c r="A106" t="s">
        <v>187</v>
      </c>
    </row>
    <row r="107" spans="1:9" x14ac:dyDescent="0.3">
      <c r="A107" t="s">
        <v>10</v>
      </c>
      <c r="B107" t="s">
        <v>1</v>
      </c>
      <c r="C107" t="s">
        <v>176</v>
      </c>
      <c r="D107" t="s">
        <v>2</v>
      </c>
      <c r="E107" t="s">
        <v>4</v>
      </c>
      <c r="F107" t="s">
        <v>3</v>
      </c>
      <c r="G107" t="s">
        <v>175</v>
      </c>
      <c r="H107" t="s">
        <v>5</v>
      </c>
      <c r="I107" t="s">
        <v>6</v>
      </c>
    </row>
    <row r="108" spans="1:9" x14ac:dyDescent="0.3">
      <c r="A108" t="s">
        <v>45</v>
      </c>
      <c r="B108">
        <v>200</v>
      </c>
      <c r="C108" s="21">
        <v>1931.6666666666667</v>
      </c>
      <c r="D108" s="10">
        <v>310</v>
      </c>
      <c r="E108" s="10">
        <v>21.333333333333336</v>
      </c>
      <c r="F108" s="10">
        <v>2.333333333333333</v>
      </c>
      <c r="G108" s="10">
        <v>25</v>
      </c>
      <c r="H108" s="10">
        <v>0</v>
      </c>
      <c r="I108" s="10">
        <v>0.33333333333333337</v>
      </c>
    </row>
    <row r="109" spans="1:9" x14ac:dyDescent="0.3">
      <c r="A109" t="s">
        <v>39</v>
      </c>
      <c r="B109">
        <v>200</v>
      </c>
      <c r="C109" s="21">
        <v>486.66666666666663</v>
      </c>
      <c r="D109" s="10">
        <v>116.66666666666667</v>
      </c>
      <c r="E109" s="10">
        <v>5.833333333333333</v>
      </c>
      <c r="F109" s="10">
        <v>9.1666666666666661</v>
      </c>
      <c r="G109" s="10">
        <v>6.666666666666667</v>
      </c>
      <c r="H109" s="10">
        <v>0</v>
      </c>
      <c r="I109" s="10">
        <v>0.13333333333333333</v>
      </c>
    </row>
    <row r="110" spans="1:9" x14ac:dyDescent="0.3">
      <c r="A110" t="s">
        <v>118</v>
      </c>
      <c r="B110">
        <v>200</v>
      </c>
      <c r="C110" s="21">
        <v>3429.9999999999995</v>
      </c>
      <c r="D110" s="10">
        <v>344</v>
      </c>
      <c r="E110" s="10">
        <v>18.600000000000001</v>
      </c>
      <c r="F110" s="10">
        <v>0</v>
      </c>
      <c r="G110" s="10">
        <v>41.8</v>
      </c>
      <c r="H110" s="10">
        <v>0</v>
      </c>
      <c r="I110" s="10">
        <v>0.2</v>
      </c>
    </row>
    <row r="111" spans="1:9" x14ac:dyDescent="0.3">
      <c r="A111" t="s">
        <v>65</v>
      </c>
      <c r="B111">
        <v>100</v>
      </c>
      <c r="C111" s="21">
        <v>295</v>
      </c>
      <c r="D111" s="10">
        <v>127.01149425287358</v>
      </c>
      <c r="E111" s="10">
        <v>3.6206896551724133</v>
      </c>
      <c r="F111" s="10">
        <v>21.609195402298852</v>
      </c>
      <c r="G111" s="10">
        <v>2.9885057471264367</v>
      </c>
      <c r="H111" s="10">
        <v>0</v>
      </c>
      <c r="I111" s="10">
        <v>5.7471264367816091E-2</v>
      </c>
    </row>
    <row r="112" spans="1:9" x14ac:dyDescent="0.3">
      <c r="A112" t="s">
        <v>36</v>
      </c>
      <c r="B112">
        <v>250.28427112891541</v>
      </c>
      <c r="C112" s="21">
        <v>729.99579079266994</v>
      </c>
      <c r="D112" s="10">
        <v>103.63333101431654</v>
      </c>
      <c r="E112" s="10">
        <v>0.58660376045839546</v>
      </c>
      <c r="F112" s="10">
        <v>17.011509053293469</v>
      </c>
      <c r="G112" s="10">
        <v>2.3464150418335818</v>
      </c>
      <c r="H112" s="10">
        <v>7.039245125500746</v>
      </c>
      <c r="I112" s="10">
        <v>0.19553458681946517</v>
      </c>
    </row>
    <row r="113" spans="1:9" x14ac:dyDescent="0.3">
      <c r="A113" t="s">
        <v>49</v>
      </c>
      <c r="B113">
        <v>45</v>
      </c>
      <c r="C113" s="21">
        <v>209.00000000000003</v>
      </c>
      <c r="D113" s="10">
        <v>110.00000000000001</v>
      </c>
      <c r="E113" s="10">
        <v>1.5</v>
      </c>
      <c r="F113" s="10">
        <v>19</v>
      </c>
      <c r="G113" s="10">
        <v>4</v>
      </c>
      <c r="H113" s="10">
        <v>1</v>
      </c>
      <c r="I113" s="10">
        <v>0.22</v>
      </c>
    </row>
    <row r="114" spans="1:9" x14ac:dyDescent="0.3">
      <c r="A114" t="s">
        <v>148</v>
      </c>
      <c r="B114">
        <v>50</v>
      </c>
      <c r="C114" s="21">
        <v>998</v>
      </c>
      <c r="D114" s="10">
        <v>80</v>
      </c>
      <c r="E114" s="10">
        <v>5</v>
      </c>
      <c r="F114" s="10">
        <v>2</v>
      </c>
      <c r="G114" s="10">
        <v>7.0000000000000009</v>
      </c>
      <c r="H114" s="10">
        <v>0</v>
      </c>
      <c r="I114" s="10">
        <v>0.5</v>
      </c>
    </row>
    <row r="115" spans="1:9" x14ac:dyDescent="0.3">
      <c r="A115" t="s">
        <v>55</v>
      </c>
      <c r="B115">
        <v>50</v>
      </c>
      <c r="C115" s="21">
        <v>523.68421052631572</v>
      </c>
      <c r="D115" s="10">
        <v>44.444444444444443</v>
      </c>
      <c r="E115" s="10">
        <v>0.27777777777777779</v>
      </c>
      <c r="F115" s="10">
        <v>7.5</v>
      </c>
      <c r="G115" s="10">
        <v>3.0555555555555558</v>
      </c>
      <c r="H115" s="10">
        <v>0.27777777777777779</v>
      </c>
      <c r="I115" s="10">
        <v>1.9444444444444444</v>
      </c>
    </row>
    <row r="116" spans="1:9" x14ac:dyDescent="0.3">
      <c r="A116" t="s">
        <v>69</v>
      </c>
      <c r="B116">
        <v>15</v>
      </c>
      <c r="C116" s="21">
        <v>240.6521739130435</v>
      </c>
      <c r="D116" s="10">
        <v>15</v>
      </c>
      <c r="E116" s="10">
        <v>0</v>
      </c>
      <c r="F116" s="10">
        <v>1</v>
      </c>
      <c r="G116" s="10">
        <v>1</v>
      </c>
      <c r="H116" s="10">
        <v>1</v>
      </c>
      <c r="I116" s="10">
        <v>0</v>
      </c>
    </row>
    <row r="117" spans="1:9" x14ac:dyDescent="0.3">
      <c r="A117" t="s">
        <v>52</v>
      </c>
      <c r="B117">
        <v>150</v>
      </c>
      <c r="C117" s="21">
        <v>883.5</v>
      </c>
      <c r="D117" s="10">
        <v>53.571428571428569</v>
      </c>
      <c r="E117" s="10">
        <v>0.6428571428571429</v>
      </c>
      <c r="F117" s="10">
        <v>5.7857142857142865</v>
      </c>
      <c r="G117" s="10">
        <v>3.6428571428571428</v>
      </c>
      <c r="H117" s="10">
        <v>4.9285714285714279</v>
      </c>
      <c r="I117" s="10">
        <v>0.42857142857142855</v>
      </c>
    </row>
    <row r="118" spans="1:9" x14ac:dyDescent="0.3">
      <c r="A118" t="s">
        <v>158</v>
      </c>
      <c r="B118">
        <v>54</v>
      </c>
      <c r="C118" s="21">
        <v>1077.8400000000001</v>
      </c>
      <c r="D118" s="10">
        <v>60</v>
      </c>
      <c r="E118" s="10">
        <v>1.5</v>
      </c>
      <c r="F118" s="10">
        <v>4.5</v>
      </c>
      <c r="G118" s="10">
        <v>7.5</v>
      </c>
      <c r="H118" s="10">
        <v>0</v>
      </c>
      <c r="I118" s="10">
        <v>1.02</v>
      </c>
    </row>
    <row r="119" spans="1:9" x14ac:dyDescent="0.3">
      <c r="A119" t="s">
        <v>169</v>
      </c>
      <c r="B119">
        <v>50</v>
      </c>
      <c r="C119" s="21">
        <v>848.75000000000011</v>
      </c>
      <c r="D119" s="10">
        <v>120</v>
      </c>
      <c r="E119" s="10">
        <v>10</v>
      </c>
      <c r="F119" s="10">
        <v>1</v>
      </c>
      <c r="G119" s="10">
        <v>10</v>
      </c>
      <c r="H119" s="10">
        <v>0</v>
      </c>
      <c r="I119" s="10">
        <v>0.27</v>
      </c>
    </row>
    <row r="120" spans="1:9" x14ac:dyDescent="0.3">
      <c r="B120">
        <v>1364.2842711289154</v>
      </c>
      <c r="C120" s="21">
        <v>11654.755508565362</v>
      </c>
      <c r="D120" s="10">
        <v>1484.3273649497301</v>
      </c>
      <c r="E120" s="10">
        <v>68.894595002932391</v>
      </c>
      <c r="F120" s="10">
        <v>90.906418741306609</v>
      </c>
      <c r="G120" s="10">
        <v>115.00000015403938</v>
      </c>
      <c r="H120" s="10">
        <v>14.245594331849951</v>
      </c>
      <c r="I120" s="10">
        <v>5.3026883908698199</v>
      </c>
    </row>
    <row r="122" spans="1:9" x14ac:dyDescent="0.3">
      <c r="A122" t="s">
        <v>188</v>
      </c>
    </row>
    <row r="123" spans="1:9" x14ac:dyDescent="0.3">
      <c r="A123" t="s">
        <v>10</v>
      </c>
      <c r="B123" t="s">
        <v>1</v>
      </c>
      <c r="C123" t="s">
        <v>176</v>
      </c>
      <c r="D123" t="s">
        <v>2</v>
      </c>
      <c r="E123" t="s">
        <v>4</v>
      </c>
      <c r="F123" t="s">
        <v>3</v>
      </c>
      <c r="G123" t="s">
        <v>175</v>
      </c>
      <c r="H123" t="s">
        <v>5</v>
      </c>
      <c r="I123" t="s">
        <v>6</v>
      </c>
    </row>
    <row r="124" spans="1:9" x14ac:dyDescent="0.3">
      <c r="A124" t="s">
        <v>157</v>
      </c>
      <c r="B124">
        <v>9.9999997853936957</v>
      </c>
      <c r="C124" s="21">
        <v>426.49571734285928</v>
      </c>
      <c r="D124" s="10">
        <v>53.846152690581441</v>
      </c>
      <c r="E124" s="10">
        <v>3.076923010890368</v>
      </c>
      <c r="F124" s="10">
        <v>6.153846021780736</v>
      </c>
      <c r="G124" s="10">
        <v>0.15384615054451842</v>
      </c>
      <c r="H124" s="10">
        <v>0</v>
      </c>
      <c r="I124" s="10">
        <v>2.3076922581677758E-2</v>
      </c>
    </row>
    <row r="125" spans="1:9" x14ac:dyDescent="0.3">
      <c r="A125" t="s">
        <v>45</v>
      </c>
      <c r="B125">
        <v>200</v>
      </c>
      <c r="C125" s="21">
        <v>1931.6666666666667</v>
      </c>
      <c r="D125" s="10">
        <v>310</v>
      </c>
      <c r="E125" s="10">
        <v>21.333333333333336</v>
      </c>
      <c r="F125" s="10">
        <v>2.333333333333333</v>
      </c>
      <c r="G125" s="10">
        <v>25</v>
      </c>
      <c r="H125" s="10">
        <v>0</v>
      </c>
      <c r="I125" s="10">
        <v>0.33333333333333337</v>
      </c>
    </row>
    <row r="126" spans="1:9" x14ac:dyDescent="0.3">
      <c r="A126" t="s">
        <v>39</v>
      </c>
      <c r="B126">
        <v>200</v>
      </c>
      <c r="C126" s="21">
        <v>486.66666666666663</v>
      </c>
      <c r="D126" s="10">
        <v>116.66666666666667</v>
      </c>
      <c r="E126" s="10">
        <v>5.833333333333333</v>
      </c>
      <c r="F126" s="10">
        <v>9.1666666666666661</v>
      </c>
      <c r="G126" s="10">
        <v>6.666666666666667</v>
      </c>
      <c r="H126" s="10">
        <v>0</v>
      </c>
      <c r="I126" s="10">
        <v>0.13333333333333333</v>
      </c>
    </row>
    <row r="127" spans="1:9" x14ac:dyDescent="0.3">
      <c r="A127" t="s">
        <v>38</v>
      </c>
      <c r="B127">
        <v>28.965499460700229</v>
      </c>
      <c r="C127" s="21">
        <v>96.551664869000774</v>
      </c>
      <c r="D127" s="10">
        <v>8.3900067403407572</v>
      </c>
      <c r="E127" s="10">
        <v>9.9881032623104257E-2</v>
      </c>
      <c r="F127" s="10">
        <v>1.8977396198389807</v>
      </c>
      <c r="G127" s="10">
        <v>0.2996430978693127</v>
      </c>
      <c r="H127" s="10">
        <v>0.79904826098483406</v>
      </c>
      <c r="I127" s="10">
        <v>4.9940516311552129E-2</v>
      </c>
    </row>
    <row r="128" spans="1:9" x14ac:dyDescent="0.3">
      <c r="A128" t="s">
        <v>43</v>
      </c>
      <c r="B128">
        <v>81.199965863970661</v>
      </c>
      <c r="C128" s="21">
        <v>811.99965863970658</v>
      </c>
      <c r="D128" s="10">
        <v>54.133310575980438</v>
      </c>
      <c r="E128" s="10">
        <v>0.81199965863970658</v>
      </c>
      <c r="F128" s="10">
        <v>1.4886660408394621</v>
      </c>
      <c r="G128" s="10">
        <v>2.3547990100551495</v>
      </c>
      <c r="H128" s="10">
        <v>2.5713322523590705</v>
      </c>
      <c r="I128" s="10">
        <v>0.47366646753982883</v>
      </c>
    </row>
    <row r="129" spans="1:9" x14ac:dyDescent="0.3">
      <c r="A129" t="s">
        <v>58</v>
      </c>
      <c r="B129">
        <v>19.999999904193547</v>
      </c>
      <c r="C129" s="21">
        <v>380.79999817584513</v>
      </c>
      <c r="D129" s="10">
        <v>142.85714217281105</v>
      </c>
      <c r="E129" s="10">
        <v>15.714285639009216</v>
      </c>
      <c r="F129" s="10">
        <v>0</v>
      </c>
      <c r="G129" s="10">
        <v>0.14285714217281106</v>
      </c>
      <c r="H129" s="10">
        <v>0</v>
      </c>
      <c r="I129" s="10">
        <v>0.17857142771601381</v>
      </c>
    </row>
    <row r="130" spans="1:9" x14ac:dyDescent="0.3">
      <c r="A130" t="s">
        <v>118</v>
      </c>
      <c r="B130">
        <v>200</v>
      </c>
      <c r="C130" s="21">
        <v>3429.9999999999995</v>
      </c>
      <c r="D130" s="10">
        <v>344</v>
      </c>
      <c r="E130" s="10">
        <v>18.600000000000001</v>
      </c>
      <c r="F130" s="10">
        <v>0</v>
      </c>
      <c r="G130" s="10">
        <v>41.8</v>
      </c>
      <c r="H130" s="10">
        <v>0</v>
      </c>
      <c r="I130" s="10">
        <v>0.2</v>
      </c>
    </row>
    <row r="131" spans="1:9" x14ac:dyDescent="0.3">
      <c r="A131" t="s">
        <v>60</v>
      </c>
      <c r="B131">
        <v>25.199995190109856</v>
      </c>
      <c r="C131" s="21">
        <v>78.11998508934056</v>
      </c>
      <c r="D131" s="10">
        <v>4.5359991342197743</v>
      </c>
      <c r="E131" s="10">
        <v>5.0399990380219716E-2</v>
      </c>
      <c r="F131" s="10">
        <v>0.68039987013296621</v>
      </c>
      <c r="G131" s="10">
        <v>0.22679995671098874</v>
      </c>
      <c r="H131" s="10">
        <v>0.30239994228131828</v>
      </c>
      <c r="I131" s="10">
        <v>0.12599997595054929</v>
      </c>
    </row>
    <row r="132" spans="1:9" x14ac:dyDescent="0.3">
      <c r="A132" t="s">
        <v>65</v>
      </c>
      <c r="B132">
        <v>100</v>
      </c>
      <c r="C132" s="21">
        <v>295</v>
      </c>
      <c r="D132" s="10">
        <v>127.01149425287358</v>
      </c>
      <c r="E132" s="10">
        <v>3.6206896551724133</v>
      </c>
      <c r="F132" s="10">
        <v>21.609195402298852</v>
      </c>
      <c r="G132" s="10">
        <v>2.9885057471264367</v>
      </c>
      <c r="H132" s="10">
        <v>0</v>
      </c>
      <c r="I132" s="10">
        <v>5.7471264367816091E-2</v>
      </c>
    </row>
    <row r="133" spans="1:9" x14ac:dyDescent="0.3">
      <c r="A133" t="s">
        <v>36</v>
      </c>
      <c r="B133">
        <v>299.89963740109903</v>
      </c>
      <c r="C133" s="21">
        <v>874.70727575320541</v>
      </c>
      <c r="D133" s="10">
        <v>124.17719361139257</v>
      </c>
      <c r="E133" s="10">
        <v>0.70288977515882578</v>
      </c>
      <c r="F133" s="10">
        <v>20.383803479605952</v>
      </c>
      <c r="G133" s="10">
        <v>2.8115591006353031</v>
      </c>
      <c r="H133" s="10">
        <v>8.4346773019059107</v>
      </c>
      <c r="I133" s="10">
        <v>0.23429659171960862</v>
      </c>
    </row>
    <row r="134" spans="1:9" x14ac:dyDescent="0.3">
      <c r="A134" t="s">
        <v>49</v>
      </c>
      <c r="B134">
        <v>45</v>
      </c>
      <c r="C134" s="21">
        <v>209.00000000000003</v>
      </c>
      <c r="D134" s="10">
        <v>110.00000000000001</v>
      </c>
      <c r="E134" s="10">
        <v>1.5</v>
      </c>
      <c r="F134" s="10">
        <v>19</v>
      </c>
      <c r="G134" s="10">
        <v>4</v>
      </c>
      <c r="H134" s="10">
        <v>1</v>
      </c>
      <c r="I134" s="10">
        <v>0.22</v>
      </c>
    </row>
    <row r="135" spans="1:9" x14ac:dyDescent="0.3">
      <c r="A135" t="s">
        <v>148</v>
      </c>
      <c r="B135">
        <v>49.998926621438308</v>
      </c>
      <c r="C135" s="21">
        <v>997.9785753639087</v>
      </c>
      <c r="D135" s="10">
        <v>79.998282594301301</v>
      </c>
      <c r="E135" s="10">
        <v>4.9998926621438313</v>
      </c>
      <c r="F135" s="10">
        <v>1.9999570648575324</v>
      </c>
      <c r="G135" s="10">
        <v>6.9998497270013642</v>
      </c>
      <c r="H135" s="10">
        <v>0</v>
      </c>
      <c r="I135" s="10">
        <v>0.49998926621438311</v>
      </c>
    </row>
    <row r="136" spans="1:9" x14ac:dyDescent="0.3">
      <c r="A136" t="s">
        <v>55</v>
      </c>
      <c r="B136">
        <v>49.998926415306208</v>
      </c>
      <c r="C136" s="21">
        <v>523.67296613925976</v>
      </c>
      <c r="D136" s="10">
        <v>44.443490146938849</v>
      </c>
      <c r="E136" s="10">
        <v>0.27777181341836782</v>
      </c>
      <c r="F136" s="10">
        <v>7.4998389622959305</v>
      </c>
      <c r="G136" s="10">
        <v>3.0554899476020463</v>
      </c>
      <c r="H136" s="10">
        <v>0.27777181341836782</v>
      </c>
      <c r="I136" s="10">
        <v>1.9444026939285748</v>
      </c>
    </row>
    <row r="137" spans="1:9" x14ac:dyDescent="0.3">
      <c r="A137" t="s">
        <v>69</v>
      </c>
      <c r="B137">
        <v>14.999751804210117</v>
      </c>
      <c r="C137" s="21">
        <v>240.64819198928407</v>
      </c>
      <c r="D137" s="10">
        <v>14.999751804210117</v>
      </c>
      <c r="E137" s="10">
        <v>0</v>
      </c>
      <c r="F137" s="10">
        <v>0.99998345361400776</v>
      </c>
      <c r="G137" s="10">
        <v>0.99998345361400776</v>
      </c>
      <c r="H137" s="10">
        <v>0.99998345361400776</v>
      </c>
      <c r="I137" s="10">
        <v>0</v>
      </c>
    </row>
    <row r="138" spans="1:9" x14ac:dyDescent="0.3">
      <c r="A138" t="s">
        <v>158</v>
      </c>
      <c r="B138">
        <v>54</v>
      </c>
      <c r="C138" s="21">
        <v>1077.8400000000001</v>
      </c>
      <c r="D138" s="10">
        <v>60</v>
      </c>
      <c r="E138" s="10">
        <v>1.5</v>
      </c>
      <c r="F138" s="10">
        <v>4.5</v>
      </c>
      <c r="G138" s="10">
        <v>7.5</v>
      </c>
      <c r="H138" s="10">
        <v>0</v>
      </c>
      <c r="I138" s="10">
        <v>1.02</v>
      </c>
    </row>
    <row r="139" spans="1:9" x14ac:dyDescent="0.3">
      <c r="A139" t="s">
        <v>169</v>
      </c>
      <c r="B139">
        <v>50</v>
      </c>
      <c r="C139" s="21">
        <v>848.75000000000011</v>
      </c>
      <c r="D139" s="10">
        <v>120</v>
      </c>
      <c r="E139" s="10">
        <v>10</v>
      </c>
      <c r="F139" s="10">
        <v>1</v>
      </c>
      <c r="G139" s="10">
        <v>10</v>
      </c>
      <c r="H139" s="10">
        <v>0</v>
      </c>
      <c r="I139" s="10">
        <v>0.27</v>
      </c>
    </row>
    <row r="140" spans="1:9" x14ac:dyDescent="0.3">
      <c r="B140">
        <v>1429.2627024464216</v>
      </c>
      <c r="C140" s="21">
        <v>12709.897366695744</v>
      </c>
      <c r="D140" s="10">
        <v>1715.0594903903163</v>
      </c>
      <c r="E140" s="10">
        <v>88.121399904102717</v>
      </c>
      <c r="F140" s="10">
        <v>98.713429915264399</v>
      </c>
      <c r="G140" s="10">
        <v>114.99999999999861</v>
      </c>
      <c r="H140" s="10">
        <v>14.385213024563509</v>
      </c>
      <c r="I140" s="10">
        <v>5.7640817929966701</v>
      </c>
    </row>
    <row r="142" spans="1:9" x14ac:dyDescent="0.3">
      <c r="A142" t="s">
        <v>189</v>
      </c>
    </row>
    <row r="143" spans="1:9" x14ac:dyDescent="0.3">
      <c r="A143" t="s">
        <v>10</v>
      </c>
      <c r="B143" t="s">
        <v>1</v>
      </c>
      <c r="C143" t="s">
        <v>176</v>
      </c>
      <c r="D143" t="s">
        <v>2</v>
      </c>
      <c r="E143" t="s">
        <v>4</v>
      </c>
      <c r="F143" t="s">
        <v>3</v>
      </c>
      <c r="G143" t="s">
        <v>175</v>
      </c>
      <c r="H143" t="s">
        <v>5</v>
      </c>
      <c r="I143" t="s">
        <v>6</v>
      </c>
    </row>
    <row r="144" spans="1:9" x14ac:dyDescent="0.3">
      <c r="A144" t="s">
        <v>45</v>
      </c>
      <c r="B144">
        <v>200</v>
      </c>
      <c r="C144" s="21">
        <v>1931.6666666666667</v>
      </c>
      <c r="D144" s="10">
        <v>310</v>
      </c>
      <c r="E144" s="10">
        <v>21.333333333333336</v>
      </c>
      <c r="F144" s="10">
        <v>2.333333333333333</v>
      </c>
      <c r="G144" s="10">
        <v>25</v>
      </c>
      <c r="H144" s="10">
        <v>0</v>
      </c>
      <c r="I144" s="10">
        <v>0.33333333333333337</v>
      </c>
    </row>
    <row r="145" spans="1:9" x14ac:dyDescent="0.3">
      <c r="A145" t="s">
        <v>39</v>
      </c>
      <c r="B145">
        <v>200</v>
      </c>
      <c r="C145" s="21">
        <v>486.66666666666663</v>
      </c>
      <c r="D145" s="10">
        <v>116.66666666666667</v>
      </c>
      <c r="E145" s="10">
        <v>5.833333333333333</v>
      </c>
      <c r="F145" s="10">
        <v>9.1666666666666661</v>
      </c>
      <c r="G145" s="10">
        <v>6.666666666666667</v>
      </c>
      <c r="H145" s="10">
        <v>0</v>
      </c>
      <c r="I145" s="10">
        <v>0.13333333333333333</v>
      </c>
    </row>
    <row r="146" spans="1:9" x14ac:dyDescent="0.3">
      <c r="A146" t="s">
        <v>38</v>
      </c>
      <c r="B146">
        <v>50</v>
      </c>
      <c r="C146" s="21">
        <v>166.66666666666669</v>
      </c>
      <c r="D146" s="10">
        <v>14.482758620689657</v>
      </c>
      <c r="E146" s="10">
        <v>0.17241379310344829</v>
      </c>
      <c r="F146" s="10">
        <v>3.2758620689655173</v>
      </c>
      <c r="G146" s="10">
        <v>0.51724137931034486</v>
      </c>
      <c r="H146" s="10">
        <v>1.3793103448275863</v>
      </c>
      <c r="I146" s="10">
        <v>8.6206896551724144E-2</v>
      </c>
    </row>
    <row r="147" spans="1:9" x14ac:dyDescent="0.3">
      <c r="A147" t="s">
        <v>118</v>
      </c>
      <c r="B147">
        <v>200</v>
      </c>
      <c r="C147" s="21">
        <v>3429.9999999999995</v>
      </c>
      <c r="D147" s="10">
        <v>344</v>
      </c>
      <c r="E147" s="10">
        <v>18.600000000000001</v>
      </c>
      <c r="F147" s="10">
        <v>0</v>
      </c>
      <c r="G147" s="10">
        <v>41.8</v>
      </c>
      <c r="H147" s="10">
        <v>0</v>
      </c>
      <c r="I147" s="10">
        <v>0.2</v>
      </c>
    </row>
    <row r="148" spans="1:9" x14ac:dyDescent="0.3">
      <c r="A148" t="s">
        <v>60</v>
      </c>
      <c r="B148">
        <v>608.00343286017062</v>
      </c>
      <c r="C148" s="21">
        <v>1884.8106418665291</v>
      </c>
      <c r="D148" s="10">
        <v>109.44061791483071</v>
      </c>
      <c r="E148" s="10">
        <v>1.2160068657203413</v>
      </c>
      <c r="F148" s="10">
        <v>16.416092687224609</v>
      </c>
      <c r="G148" s="10">
        <v>5.4720308957415362</v>
      </c>
      <c r="H148" s="10">
        <v>7.296041194322048</v>
      </c>
      <c r="I148" s="10">
        <v>3.0400171643008531</v>
      </c>
    </row>
    <row r="149" spans="1:9" x14ac:dyDescent="0.3">
      <c r="A149" t="s">
        <v>65</v>
      </c>
      <c r="B149">
        <v>100</v>
      </c>
      <c r="C149" s="21">
        <v>295</v>
      </c>
      <c r="D149" s="10">
        <v>127.01149425287358</v>
      </c>
      <c r="E149" s="10">
        <v>3.6206896551724133</v>
      </c>
      <c r="F149" s="10">
        <v>21.609195402298852</v>
      </c>
      <c r="G149" s="10">
        <v>2.9885057471264367</v>
      </c>
      <c r="H149" s="10">
        <v>0</v>
      </c>
      <c r="I149" s="10">
        <v>5.7471264367816091E-2</v>
      </c>
    </row>
    <row r="150" spans="1:9" x14ac:dyDescent="0.3">
      <c r="A150" t="s">
        <v>49</v>
      </c>
      <c r="B150">
        <v>45</v>
      </c>
      <c r="C150" s="21">
        <v>209.00000000000003</v>
      </c>
      <c r="D150" s="10">
        <v>110.00000000000001</v>
      </c>
      <c r="E150" s="10">
        <v>1.5</v>
      </c>
      <c r="F150" s="10">
        <v>19</v>
      </c>
      <c r="G150" s="10">
        <v>4</v>
      </c>
      <c r="H150" s="10">
        <v>1</v>
      </c>
      <c r="I150" s="10">
        <v>0.22</v>
      </c>
    </row>
    <row r="151" spans="1:9" x14ac:dyDescent="0.3">
      <c r="A151" t="s">
        <v>148</v>
      </c>
      <c r="B151">
        <v>50</v>
      </c>
      <c r="C151" s="21">
        <v>998</v>
      </c>
      <c r="D151" s="10">
        <v>80</v>
      </c>
      <c r="E151" s="10">
        <v>5</v>
      </c>
      <c r="F151" s="10">
        <v>2</v>
      </c>
      <c r="G151" s="10">
        <v>7.0000000000000009</v>
      </c>
      <c r="H151" s="10">
        <v>0</v>
      </c>
      <c r="I151" s="10">
        <v>0.5</v>
      </c>
    </row>
    <row r="152" spans="1:9" x14ac:dyDescent="0.3">
      <c r="A152" t="s">
        <v>55</v>
      </c>
      <c r="B152">
        <v>50</v>
      </c>
      <c r="C152" s="21">
        <v>523.68421052631572</v>
      </c>
      <c r="D152" s="10">
        <v>44.444444444444443</v>
      </c>
      <c r="E152" s="10">
        <v>0.27777777777777779</v>
      </c>
      <c r="F152" s="10">
        <v>7.5</v>
      </c>
      <c r="G152" s="10">
        <v>3.0555555555555558</v>
      </c>
      <c r="H152" s="10">
        <v>0.27777777777777779</v>
      </c>
      <c r="I152" s="10">
        <v>1.9444444444444444</v>
      </c>
    </row>
    <row r="153" spans="1:9" x14ac:dyDescent="0.3">
      <c r="A153" t="s">
        <v>69</v>
      </c>
      <c r="B153">
        <v>15</v>
      </c>
      <c r="C153" s="21">
        <v>240.6521739130435</v>
      </c>
      <c r="D153" s="10">
        <v>15</v>
      </c>
      <c r="E153" s="10">
        <v>0</v>
      </c>
      <c r="F153" s="10">
        <v>1</v>
      </c>
      <c r="G153" s="10">
        <v>1</v>
      </c>
      <c r="H153" s="10">
        <v>1</v>
      </c>
      <c r="I153" s="10">
        <v>0</v>
      </c>
    </row>
    <row r="154" spans="1:9" x14ac:dyDescent="0.3">
      <c r="A154" t="s">
        <v>158</v>
      </c>
      <c r="B154">
        <v>54</v>
      </c>
      <c r="C154" s="21">
        <v>1077.8400000000001</v>
      </c>
      <c r="D154" s="10">
        <v>60</v>
      </c>
      <c r="E154" s="10">
        <v>1.5</v>
      </c>
      <c r="F154" s="10">
        <v>4.5</v>
      </c>
      <c r="G154" s="10">
        <v>7.5</v>
      </c>
      <c r="H154" s="10">
        <v>0</v>
      </c>
      <c r="I154" s="10">
        <v>1.02</v>
      </c>
    </row>
    <row r="155" spans="1:9" x14ac:dyDescent="0.3">
      <c r="A155" t="s">
        <v>169</v>
      </c>
      <c r="B155">
        <v>50</v>
      </c>
      <c r="C155" s="21">
        <v>848.75000000000011</v>
      </c>
      <c r="D155" s="10">
        <v>120</v>
      </c>
      <c r="E155" s="10">
        <v>10</v>
      </c>
      <c r="F155" s="10">
        <v>1</v>
      </c>
      <c r="G155" s="10">
        <v>10</v>
      </c>
      <c r="H155" s="10">
        <v>0</v>
      </c>
      <c r="I155" s="10">
        <v>0.27</v>
      </c>
    </row>
    <row r="156" spans="1:9" x14ac:dyDescent="0.3">
      <c r="B156">
        <v>1622.0034328601705</v>
      </c>
      <c r="C156" s="21">
        <v>12092.737026305889</v>
      </c>
      <c r="D156" s="10">
        <v>1451.045981899505</v>
      </c>
      <c r="E156" s="10">
        <v>69.05355475844064</v>
      </c>
      <c r="F156" s="10">
        <v>87.80115015848898</v>
      </c>
      <c r="G156" s="10">
        <v>115.00000024440055</v>
      </c>
      <c r="H156" s="10">
        <v>10.953129316927413</v>
      </c>
      <c r="I156" s="10">
        <v>7.8048064363315035</v>
      </c>
    </row>
    <row r="158" spans="1:9" x14ac:dyDescent="0.3">
      <c r="A158" t="s">
        <v>190</v>
      </c>
    </row>
    <row r="159" spans="1:9" x14ac:dyDescent="0.3">
      <c r="A159" t="s">
        <v>10</v>
      </c>
      <c r="B159" t="s">
        <v>1</v>
      </c>
      <c r="C159" t="s">
        <v>176</v>
      </c>
      <c r="D159" t="s">
        <v>2</v>
      </c>
      <c r="E159" t="s">
        <v>4</v>
      </c>
      <c r="F159" t="s">
        <v>3</v>
      </c>
      <c r="G159" t="s">
        <v>175</v>
      </c>
      <c r="H159" t="s">
        <v>5</v>
      </c>
      <c r="I159" t="s">
        <v>6</v>
      </c>
    </row>
    <row r="160" spans="1:9" x14ac:dyDescent="0.3">
      <c r="A160" t="s">
        <v>45</v>
      </c>
      <c r="B160">
        <v>200</v>
      </c>
      <c r="C160" s="21">
        <v>1931.6666666666667</v>
      </c>
      <c r="D160" s="10">
        <v>310</v>
      </c>
      <c r="E160" s="10">
        <v>21.333333333333336</v>
      </c>
      <c r="F160" s="10">
        <v>2.333333333333333</v>
      </c>
      <c r="G160" s="10">
        <v>25</v>
      </c>
      <c r="H160" s="10">
        <v>0</v>
      </c>
      <c r="I160" s="10">
        <v>0.33333333333333337</v>
      </c>
    </row>
    <row r="161" spans="1:9" x14ac:dyDescent="0.3">
      <c r="A161" t="s">
        <v>39</v>
      </c>
      <c r="B161">
        <v>200</v>
      </c>
      <c r="C161" s="21">
        <v>486.66666666666663</v>
      </c>
      <c r="D161" s="10">
        <v>116.66666666666667</v>
      </c>
      <c r="E161" s="10">
        <v>5.833333333333333</v>
      </c>
      <c r="F161" s="10">
        <v>9.1666666666666661</v>
      </c>
      <c r="G161" s="10">
        <v>6.666666666666667</v>
      </c>
      <c r="H161" s="10">
        <v>0</v>
      </c>
      <c r="I161" s="10">
        <v>0.13333333333333333</v>
      </c>
    </row>
    <row r="162" spans="1:9" x14ac:dyDescent="0.3">
      <c r="A162" t="s">
        <v>38</v>
      </c>
      <c r="B162">
        <v>50</v>
      </c>
      <c r="C162" s="21">
        <v>166.66666666666669</v>
      </c>
      <c r="D162" s="10">
        <v>14.482758620689657</v>
      </c>
      <c r="E162" s="10">
        <v>0.17241379310344829</v>
      </c>
      <c r="F162" s="10">
        <v>3.2758620689655173</v>
      </c>
      <c r="G162" s="10">
        <v>0.51724137931034486</v>
      </c>
      <c r="H162" s="10">
        <v>1.3793103448275863</v>
      </c>
      <c r="I162" s="10">
        <v>8.6206896551724144E-2</v>
      </c>
    </row>
    <row r="163" spans="1:9" x14ac:dyDescent="0.3">
      <c r="A163" t="s">
        <v>43</v>
      </c>
      <c r="B163">
        <v>188.69071121899952</v>
      </c>
      <c r="C163" s="21">
        <v>1886.9071121899951</v>
      </c>
      <c r="D163" s="10">
        <v>125.79380747933301</v>
      </c>
      <c r="E163" s="10">
        <v>1.8869071121899952</v>
      </c>
      <c r="F163" s="10">
        <v>3.4593297056816579</v>
      </c>
      <c r="G163" s="10">
        <v>5.4720306253509863</v>
      </c>
      <c r="H163" s="10">
        <v>5.9752058552683174</v>
      </c>
      <c r="I163" s="10">
        <v>1.1006958154441637</v>
      </c>
    </row>
    <row r="164" spans="1:9" x14ac:dyDescent="0.3">
      <c r="A164" t="s">
        <v>118</v>
      </c>
      <c r="B164">
        <v>200</v>
      </c>
      <c r="C164" s="21">
        <v>3429.9999999999995</v>
      </c>
      <c r="D164" s="10">
        <v>344</v>
      </c>
      <c r="E164" s="10">
        <v>18.600000000000001</v>
      </c>
      <c r="F164" s="10">
        <v>0</v>
      </c>
      <c r="G164" s="10">
        <v>41.8</v>
      </c>
      <c r="H164" s="10">
        <v>0</v>
      </c>
      <c r="I164" s="10">
        <v>0.2</v>
      </c>
    </row>
    <row r="165" spans="1:9" x14ac:dyDescent="0.3">
      <c r="A165" t="s">
        <v>65</v>
      </c>
      <c r="B165">
        <v>100</v>
      </c>
      <c r="C165" s="21">
        <v>295</v>
      </c>
      <c r="D165" s="10">
        <v>127.01149425287358</v>
      </c>
      <c r="E165" s="10">
        <v>3.6206896551724133</v>
      </c>
      <c r="F165" s="10">
        <v>21.609195402298852</v>
      </c>
      <c r="G165" s="10">
        <v>2.9885057471264367</v>
      </c>
      <c r="H165" s="10">
        <v>0</v>
      </c>
      <c r="I165" s="10">
        <v>5.7471264367816091E-2</v>
      </c>
    </row>
    <row r="166" spans="1:9" x14ac:dyDescent="0.3">
      <c r="A166" t="s">
        <v>49</v>
      </c>
      <c r="B166">
        <v>45</v>
      </c>
      <c r="C166" s="21">
        <v>209.00000000000003</v>
      </c>
      <c r="D166" s="10">
        <v>110.00000000000001</v>
      </c>
      <c r="E166" s="10">
        <v>1.5</v>
      </c>
      <c r="F166" s="10">
        <v>19</v>
      </c>
      <c r="G166" s="10">
        <v>4</v>
      </c>
      <c r="H166" s="10">
        <v>1</v>
      </c>
      <c r="I166" s="10">
        <v>0.22</v>
      </c>
    </row>
    <row r="167" spans="1:9" x14ac:dyDescent="0.3">
      <c r="A167" t="s">
        <v>148</v>
      </c>
      <c r="B167">
        <v>50</v>
      </c>
      <c r="C167" s="21">
        <v>998</v>
      </c>
      <c r="D167" s="10">
        <v>80</v>
      </c>
      <c r="E167" s="10">
        <v>5</v>
      </c>
      <c r="F167" s="10">
        <v>2</v>
      </c>
      <c r="G167" s="10">
        <v>7.0000000000000009</v>
      </c>
      <c r="H167" s="10">
        <v>0</v>
      </c>
      <c r="I167" s="10">
        <v>0.5</v>
      </c>
    </row>
    <row r="168" spans="1:9" x14ac:dyDescent="0.3">
      <c r="A168" t="s">
        <v>55</v>
      </c>
      <c r="B168">
        <v>50</v>
      </c>
      <c r="C168" s="21">
        <v>523.68421052631572</v>
      </c>
      <c r="D168" s="10">
        <v>44.444444444444443</v>
      </c>
      <c r="E168" s="10">
        <v>0.27777777777777779</v>
      </c>
      <c r="F168" s="10">
        <v>7.5</v>
      </c>
      <c r="G168" s="10">
        <v>3.0555555555555558</v>
      </c>
      <c r="H168" s="10">
        <v>0.27777777777777779</v>
      </c>
      <c r="I168" s="10">
        <v>1.9444444444444444</v>
      </c>
    </row>
    <row r="169" spans="1:9" x14ac:dyDescent="0.3">
      <c r="A169" t="s">
        <v>69</v>
      </c>
      <c r="B169">
        <v>15</v>
      </c>
      <c r="C169" s="21">
        <v>240.6521739130435</v>
      </c>
      <c r="D169" s="10">
        <v>15</v>
      </c>
      <c r="E169" s="10">
        <v>0</v>
      </c>
      <c r="F169" s="10">
        <v>1</v>
      </c>
      <c r="G169" s="10">
        <v>1</v>
      </c>
      <c r="H169" s="10">
        <v>1</v>
      </c>
      <c r="I169" s="10">
        <v>0</v>
      </c>
    </row>
    <row r="170" spans="1:9" x14ac:dyDescent="0.3">
      <c r="A170" t="s">
        <v>158</v>
      </c>
      <c r="B170">
        <v>54</v>
      </c>
      <c r="C170" s="21">
        <v>1077.8400000000001</v>
      </c>
      <c r="D170" s="10">
        <v>60</v>
      </c>
      <c r="E170" s="10">
        <v>1.5</v>
      </c>
      <c r="F170" s="10">
        <v>4.5</v>
      </c>
      <c r="G170" s="10">
        <v>7.5</v>
      </c>
      <c r="H170" s="10">
        <v>0</v>
      </c>
      <c r="I170" s="10">
        <v>1.02</v>
      </c>
    </row>
    <row r="171" spans="1:9" x14ac:dyDescent="0.3">
      <c r="A171" t="s">
        <v>169</v>
      </c>
      <c r="B171">
        <v>50</v>
      </c>
      <c r="C171" s="21">
        <v>848.75000000000011</v>
      </c>
      <c r="D171" s="10">
        <v>120</v>
      </c>
      <c r="E171" s="10">
        <v>10</v>
      </c>
      <c r="F171" s="10">
        <v>1</v>
      </c>
      <c r="G171" s="10">
        <v>10</v>
      </c>
      <c r="H171" s="10">
        <v>0</v>
      </c>
      <c r="I171" s="10">
        <v>0.27</v>
      </c>
    </row>
    <row r="172" spans="1:9" x14ac:dyDescent="0.3">
      <c r="B172">
        <v>1202.6907112189995</v>
      </c>
      <c r="C172" s="21">
        <v>12094.833496629353</v>
      </c>
      <c r="D172" s="10">
        <v>1467.3991714640072</v>
      </c>
      <c r="E172" s="10">
        <v>69.724455004910311</v>
      </c>
      <c r="F172" s="10">
        <v>74.844387176946029</v>
      </c>
      <c r="G172" s="10">
        <v>114.99999997401</v>
      </c>
      <c r="H172" s="10">
        <v>9.6322939778736831</v>
      </c>
      <c r="I172" s="10">
        <v>5.8654850874748146</v>
      </c>
    </row>
    <row r="174" spans="1:9" x14ac:dyDescent="0.3">
      <c r="A174" t="s">
        <v>191</v>
      </c>
    </row>
    <row r="175" spans="1:9" x14ac:dyDescent="0.3">
      <c r="A175" t="s">
        <v>10</v>
      </c>
      <c r="B175" t="s">
        <v>1</v>
      </c>
      <c r="C175" t="s">
        <v>176</v>
      </c>
      <c r="D175" t="s">
        <v>2</v>
      </c>
      <c r="E175" t="s">
        <v>4</v>
      </c>
      <c r="F175" t="s">
        <v>3</v>
      </c>
      <c r="G175" t="s">
        <v>175</v>
      </c>
      <c r="H175" t="s">
        <v>5</v>
      </c>
      <c r="I175" t="s">
        <v>6</v>
      </c>
    </row>
    <row r="176" spans="1:9" x14ac:dyDescent="0.3">
      <c r="A176" t="s">
        <v>52</v>
      </c>
      <c r="B176">
        <v>150</v>
      </c>
      <c r="C176" s="21">
        <v>883.5</v>
      </c>
      <c r="D176" s="10">
        <v>53.571428571428569</v>
      </c>
      <c r="E176" s="10">
        <v>0.6428571428571429</v>
      </c>
      <c r="F176" s="10">
        <v>5.7857142857142865</v>
      </c>
      <c r="G176" s="10">
        <v>3.6428571428571428</v>
      </c>
      <c r="H176" s="10">
        <v>4.9285714285714279</v>
      </c>
      <c r="I176" s="10">
        <v>0.42857142857142855</v>
      </c>
    </row>
    <row r="177" spans="1:9" x14ac:dyDescent="0.3">
      <c r="A177" t="s">
        <v>36</v>
      </c>
      <c r="B177">
        <v>250.28422293868053</v>
      </c>
      <c r="C177" s="21">
        <v>729.99565023781815</v>
      </c>
      <c r="D177" s="10">
        <v>103.63331106054741</v>
      </c>
      <c r="E177" s="10">
        <v>0.58660364751253247</v>
      </c>
      <c r="F177" s="10">
        <v>17.011505777863444</v>
      </c>
      <c r="G177" s="10">
        <v>2.3464145900501299</v>
      </c>
      <c r="H177" s="10">
        <v>7.0392437701503896</v>
      </c>
      <c r="I177" s="10">
        <v>0.19553454917084417</v>
      </c>
    </row>
    <row r="178" spans="1:9" x14ac:dyDescent="0.3">
      <c r="A178" t="s">
        <v>45</v>
      </c>
      <c r="B178">
        <v>200</v>
      </c>
      <c r="C178" s="21">
        <v>1931.6666666666667</v>
      </c>
      <c r="D178" s="10">
        <v>310</v>
      </c>
      <c r="E178" s="10">
        <v>21.333333333333336</v>
      </c>
      <c r="F178" s="10">
        <v>2.333333333333333</v>
      </c>
      <c r="G178" s="10">
        <v>25</v>
      </c>
      <c r="H178" s="10">
        <v>0</v>
      </c>
      <c r="I178" s="10">
        <v>0.33333333333333337</v>
      </c>
    </row>
    <row r="179" spans="1:9" x14ac:dyDescent="0.3">
      <c r="A179" t="s">
        <v>39</v>
      </c>
      <c r="B179">
        <v>200</v>
      </c>
      <c r="C179" s="21">
        <v>486.66666666666663</v>
      </c>
      <c r="D179" s="10">
        <v>116.66666666666667</v>
      </c>
      <c r="E179" s="10">
        <v>5.833333333333333</v>
      </c>
      <c r="F179" s="10">
        <v>9.1666666666666661</v>
      </c>
      <c r="G179" s="10">
        <v>6.666666666666667</v>
      </c>
      <c r="H179" s="10">
        <v>0</v>
      </c>
      <c r="I179" s="10">
        <v>0.13333333333333333</v>
      </c>
    </row>
    <row r="180" spans="1:9" x14ac:dyDescent="0.3">
      <c r="A180" t="s">
        <v>118</v>
      </c>
      <c r="B180">
        <v>200</v>
      </c>
      <c r="C180" s="21">
        <v>3429.9999999999995</v>
      </c>
      <c r="D180" s="10">
        <v>344</v>
      </c>
      <c r="E180" s="10">
        <v>18.600000000000001</v>
      </c>
      <c r="F180" s="10">
        <v>0</v>
      </c>
      <c r="G180" s="10">
        <v>41.8</v>
      </c>
      <c r="H180" s="10">
        <v>0</v>
      </c>
      <c r="I180" s="10">
        <v>0.2</v>
      </c>
    </row>
    <row r="181" spans="1:9" x14ac:dyDescent="0.3">
      <c r="A181" t="s">
        <v>65</v>
      </c>
      <c r="B181">
        <v>100</v>
      </c>
      <c r="C181" s="21">
        <v>295</v>
      </c>
      <c r="D181" s="10">
        <v>127.01149425287358</v>
      </c>
      <c r="E181" s="10">
        <v>3.6206896551724133</v>
      </c>
      <c r="F181" s="10">
        <v>21.609195402298852</v>
      </c>
      <c r="G181" s="10">
        <v>2.9885057471264367</v>
      </c>
      <c r="H181" s="10">
        <v>0</v>
      </c>
      <c r="I181" s="10">
        <v>5.7471264367816091E-2</v>
      </c>
    </row>
    <row r="182" spans="1:9" x14ac:dyDescent="0.3">
      <c r="A182" t="s">
        <v>49</v>
      </c>
      <c r="B182">
        <v>45</v>
      </c>
      <c r="C182" s="21">
        <v>209.00000000000003</v>
      </c>
      <c r="D182" s="10">
        <v>110.00000000000001</v>
      </c>
      <c r="E182" s="10">
        <v>1.5</v>
      </c>
      <c r="F182" s="10">
        <v>19</v>
      </c>
      <c r="G182" s="10">
        <v>4</v>
      </c>
      <c r="H182" s="10">
        <v>1</v>
      </c>
      <c r="I182" s="10">
        <v>0.22</v>
      </c>
    </row>
    <row r="183" spans="1:9" x14ac:dyDescent="0.3">
      <c r="A183" t="s">
        <v>148</v>
      </c>
      <c r="B183">
        <v>50</v>
      </c>
      <c r="C183" s="21">
        <v>998</v>
      </c>
      <c r="D183" s="10">
        <v>80</v>
      </c>
      <c r="E183" s="10">
        <v>5</v>
      </c>
      <c r="F183" s="10">
        <v>2</v>
      </c>
      <c r="G183" s="10">
        <v>7.0000000000000009</v>
      </c>
      <c r="H183" s="10">
        <v>0</v>
      </c>
      <c r="I183" s="10">
        <v>0.5</v>
      </c>
    </row>
    <row r="184" spans="1:9" x14ac:dyDescent="0.3">
      <c r="A184" t="s">
        <v>55</v>
      </c>
      <c r="B184">
        <v>50</v>
      </c>
      <c r="C184" s="21">
        <v>523.68421052631572</v>
      </c>
      <c r="D184" s="10">
        <v>44.444444444444443</v>
      </c>
      <c r="E184" s="10">
        <v>0.27777777777777779</v>
      </c>
      <c r="F184" s="10">
        <v>7.5</v>
      </c>
      <c r="G184" s="10">
        <v>3.0555555555555558</v>
      </c>
      <c r="H184" s="10">
        <v>0.27777777777777779</v>
      </c>
      <c r="I184" s="10">
        <v>1.9444444444444444</v>
      </c>
    </row>
    <row r="185" spans="1:9" x14ac:dyDescent="0.3">
      <c r="A185" t="s">
        <v>69</v>
      </c>
      <c r="B185">
        <v>15</v>
      </c>
      <c r="C185" s="21">
        <v>240.6521739130435</v>
      </c>
      <c r="D185" s="10">
        <v>15</v>
      </c>
      <c r="E185" s="10">
        <v>0</v>
      </c>
      <c r="F185" s="10">
        <v>1</v>
      </c>
      <c r="G185" s="10">
        <v>1</v>
      </c>
      <c r="H185" s="10">
        <v>1</v>
      </c>
      <c r="I185" s="10">
        <v>0</v>
      </c>
    </row>
    <row r="186" spans="1:9" x14ac:dyDescent="0.3">
      <c r="A186" t="s">
        <v>158</v>
      </c>
      <c r="B186">
        <v>54</v>
      </c>
      <c r="C186" s="21">
        <v>1077.8400000000001</v>
      </c>
      <c r="D186" s="10">
        <v>60</v>
      </c>
      <c r="E186" s="10">
        <v>1.5</v>
      </c>
      <c r="F186" s="10">
        <v>4.5</v>
      </c>
      <c r="G186" s="10">
        <v>7.5</v>
      </c>
      <c r="H186" s="10">
        <v>0</v>
      </c>
      <c r="I186" s="10">
        <v>1.02</v>
      </c>
    </row>
    <row r="187" spans="1:9" x14ac:dyDescent="0.3">
      <c r="A187" t="s">
        <v>169</v>
      </c>
      <c r="B187">
        <v>50</v>
      </c>
      <c r="C187" s="21">
        <v>848.75000000000011</v>
      </c>
      <c r="D187" s="10">
        <v>120</v>
      </c>
      <c r="E187" s="10">
        <v>10</v>
      </c>
      <c r="F187" s="10">
        <v>1</v>
      </c>
      <c r="G187" s="10">
        <v>10</v>
      </c>
      <c r="H187" s="10">
        <v>0</v>
      </c>
      <c r="I187" s="10">
        <v>0.27</v>
      </c>
    </row>
    <row r="188" spans="1:9" x14ac:dyDescent="0.3">
      <c r="B188">
        <v>1364.2842229386806</v>
      </c>
      <c r="C188" s="21">
        <v>11654.75536801051</v>
      </c>
      <c r="D188" s="10">
        <v>1484.3273449959606</v>
      </c>
      <c r="E188" s="10">
        <v>68.894594889986536</v>
      </c>
      <c r="F188" s="10">
        <v>90.906415465876591</v>
      </c>
      <c r="G188" s="10">
        <v>114.99999970225593</v>
      </c>
      <c r="H188" s="10">
        <v>14.245592976499596</v>
      </c>
      <c r="I188" s="10">
        <v>5.3026883532211997</v>
      </c>
    </row>
    <row r="190" spans="1:9" x14ac:dyDescent="0.3">
      <c r="A190" t="s">
        <v>192</v>
      </c>
    </row>
    <row r="191" spans="1:9" x14ac:dyDescent="0.3">
      <c r="A191" t="s">
        <v>10</v>
      </c>
      <c r="B191" t="s">
        <v>1</v>
      </c>
      <c r="C191" t="s">
        <v>176</v>
      </c>
      <c r="D191" t="s">
        <v>2</v>
      </c>
      <c r="E191" t="s">
        <v>4</v>
      </c>
      <c r="F191" t="s">
        <v>3</v>
      </c>
      <c r="G191" t="s">
        <v>175</v>
      </c>
      <c r="H191" t="s">
        <v>5</v>
      </c>
      <c r="I191" t="s">
        <v>6</v>
      </c>
    </row>
    <row r="192" spans="1:9" x14ac:dyDescent="0.3">
      <c r="A192" t="s">
        <v>138</v>
      </c>
      <c r="B192">
        <v>250.08058834861708</v>
      </c>
      <c r="C192" s="21">
        <v>1395.4496829852833</v>
      </c>
      <c r="D192" s="10">
        <v>906.54213276373696</v>
      </c>
      <c r="E192" s="10">
        <v>3.1260073543577138</v>
      </c>
      <c r="F192" s="10">
        <v>190.68644861582052</v>
      </c>
      <c r="G192" s="10">
        <v>28.134066189219421</v>
      </c>
      <c r="H192" s="10">
        <v>0</v>
      </c>
      <c r="I192" s="10">
        <v>0</v>
      </c>
    </row>
    <row r="193" spans="1:9" x14ac:dyDescent="0.3">
      <c r="A193" t="s">
        <v>45</v>
      </c>
      <c r="B193">
        <v>200</v>
      </c>
      <c r="C193" s="21">
        <v>1931.6666666666667</v>
      </c>
      <c r="D193" s="10">
        <v>310</v>
      </c>
      <c r="E193" s="10">
        <v>21.333333333333336</v>
      </c>
      <c r="F193" s="10">
        <v>2.333333333333333</v>
      </c>
      <c r="G193" s="10">
        <v>25</v>
      </c>
      <c r="H193" s="10">
        <v>0</v>
      </c>
      <c r="I193" s="10">
        <v>0.33333333333333337</v>
      </c>
    </row>
    <row r="194" spans="1:9" x14ac:dyDescent="0.3">
      <c r="A194" t="s">
        <v>39</v>
      </c>
      <c r="B194">
        <v>200</v>
      </c>
      <c r="C194" s="21">
        <v>486.66666666666663</v>
      </c>
      <c r="D194" s="10">
        <v>116.66666666666667</v>
      </c>
      <c r="E194" s="10">
        <v>5.833333333333333</v>
      </c>
      <c r="F194" s="10">
        <v>9.1666666666666661</v>
      </c>
      <c r="G194" s="10">
        <v>6.666666666666667</v>
      </c>
      <c r="H194" s="10">
        <v>0</v>
      </c>
      <c r="I194" s="10">
        <v>0.13333333333333333</v>
      </c>
    </row>
    <row r="195" spans="1:9" x14ac:dyDescent="0.3">
      <c r="A195" t="s">
        <v>118</v>
      </c>
      <c r="B195">
        <v>200</v>
      </c>
      <c r="C195" s="21">
        <v>3429.9999999999995</v>
      </c>
      <c r="D195" s="10">
        <v>344</v>
      </c>
      <c r="E195" s="10">
        <v>18.600000000000001</v>
      </c>
      <c r="F195" s="10">
        <v>0</v>
      </c>
      <c r="G195" s="10">
        <v>41.8</v>
      </c>
      <c r="H195" s="10">
        <v>0</v>
      </c>
      <c r="I195" s="10">
        <v>0.2</v>
      </c>
    </row>
    <row r="196" spans="1:9" x14ac:dyDescent="0.3">
      <c r="A196" t="s">
        <v>49</v>
      </c>
      <c r="B196">
        <v>45</v>
      </c>
      <c r="C196" s="21">
        <v>209.00000000000003</v>
      </c>
      <c r="D196" s="10">
        <v>110.00000000000001</v>
      </c>
      <c r="E196" s="10">
        <v>1.5</v>
      </c>
      <c r="F196" s="10">
        <v>19</v>
      </c>
      <c r="G196" s="10">
        <v>4</v>
      </c>
      <c r="H196" s="10">
        <v>1</v>
      </c>
      <c r="I196" s="10">
        <v>0.22</v>
      </c>
    </row>
    <row r="197" spans="1:9" x14ac:dyDescent="0.3">
      <c r="A197" t="s">
        <v>169</v>
      </c>
      <c r="B197">
        <v>46.996338102703497</v>
      </c>
      <c r="C197" s="21">
        <v>797.76283929339195</v>
      </c>
      <c r="D197" s="10">
        <v>112.79121144648839</v>
      </c>
      <c r="E197" s="10">
        <v>9.3992676205406998</v>
      </c>
      <c r="F197" s="10">
        <v>0.93992676205407</v>
      </c>
      <c r="G197" s="10">
        <v>9.3992676205406998</v>
      </c>
      <c r="H197" s="10">
        <v>0</v>
      </c>
      <c r="I197" s="10">
        <v>0.25378022575459891</v>
      </c>
    </row>
    <row r="198" spans="1:9" x14ac:dyDescent="0.3">
      <c r="B198">
        <v>942.07692645132056</v>
      </c>
      <c r="C198" s="21">
        <v>8250.5458556120084</v>
      </c>
      <c r="D198" s="10">
        <v>1900.000010876892</v>
      </c>
      <c r="E198" s="10">
        <v>59.791941641565082</v>
      </c>
      <c r="F198" s="10">
        <v>222.12637537787458</v>
      </c>
      <c r="G198" s="10">
        <v>115.00000047642679</v>
      </c>
      <c r="H198" s="10">
        <v>1</v>
      </c>
      <c r="I198" s="10">
        <v>1.1404468924212656</v>
      </c>
    </row>
    <row r="201" spans="1:9" x14ac:dyDescent="0.3">
      <c r="A201" t="s">
        <v>193</v>
      </c>
    </row>
    <row r="202" spans="1:9" x14ac:dyDescent="0.3">
      <c r="A202" t="s">
        <v>10</v>
      </c>
      <c r="B202" t="s">
        <v>1</v>
      </c>
      <c r="C202" t="s">
        <v>176</v>
      </c>
      <c r="D202" t="s">
        <v>2</v>
      </c>
      <c r="E202" t="s">
        <v>4</v>
      </c>
      <c r="F202" t="s">
        <v>3</v>
      </c>
      <c r="G202" t="s">
        <v>175</v>
      </c>
      <c r="H202" t="s">
        <v>5</v>
      </c>
      <c r="I202" t="s">
        <v>6</v>
      </c>
    </row>
    <row r="203" spans="1:9" x14ac:dyDescent="0.3">
      <c r="A203" t="s">
        <v>138</v>
      </c>
      <c r="B203">
        <v>150.00000000000003</v>
      </c>
      <c r="C203" s="21">
        <v>837.00000000000011</v>
      </c>
      <c r="D203" s="10">
        <v>543.75000000000011</v>
      </c>
      <c r="E203" s="10">
        <v>1.8750000000000004</v>
      </c>
      <c r="F203" s="10">
        <v>114.37500000000001</v>
      </c>
      <c r="G203" s="10">
        <v>16.875000000000004</v>
      </c>
      <c r="H203" s="10">
        <v>0</v>
      </c>
      <c r="I203" s="10">
        <v>0</v>
      </c>
    </row>
    <row r="204" spans="1:9" x14ac:dyDescent="0.3">
      <c r="A204" t="s">
        <v>45</v>
      </c>
      <c r="B204">
        <v>200</v>
      </c>
      <c r="C204" s="21">
        <v>1931.6666666666667</v>
      </c>
      <c r="D204" s="10">
        <v>310</v>
      </c>
      <c r="E204" s="10">
        <v>21.333333333333336</v>
      </c>
      <c r="F204" s="10">
        <v>2.333333333333333</v>
      </c>
      <c r="G204" s="10">
        <v>25</v>
      </c>
      <c r="H204" s="10">
        <v>0</v>
      </c>
      <c r="I204" s="10">
        <v>0.33333333333333337</v>
      </c>
    </row>
    <row r="205" spans="1:9" x14ac:dyDescent="0.3">
      <c r="A205" t="s">
        <v>118</v>
      </c>
      <c r="B205">
        <v>200</v>
      </c>
      <c r="C205" s="21">
        <v>3429.9999999999995</v>
      </c>
      <c r="D205" s="10">
        <v>344</v>
      </c>
      <c r="E205" s="10">
        <v>18.600000000000001</v>
      </c>
      <c r="F205" s="10">
        <v>0</v>
      </c>
      <c r="G205" s="10">
        <v>41.8</v>
      </c>
      <c r="H205" s="10">
        <v>0</v>
      </c>
      <c r="I205" s="10">
        <v>0.2</v>
      </c>
    </row>
    <row r="206" spans="1:9" x14ac:dyDescent="0.3">
      <c r="A206" t="s">
        <v>65</v>
      </c>
      <c r="B206">
        <v>100</v>
      </c>
      <c r="C206" s="21">
        <v>295</v>
      </c>
      <c r="D206" s="10">
        <v>127.01149425287358</v>
      </c>
      <c r="E206" s="10">
        <v>3.6206896551724133</v>
      </c>
      <c r="F206" s="10">
        <v>21.609195402298852</v>
      </c>
      <c r="G206" s="10">
        <v>2.9885057471264367</v>
      </c>
      <c r="H206" s="10">
        <v>0</v>
      </c>
      <c r="I206" s="10">
        <v>5.7471264367816091E-2</v>
      </c>
    </row>
    <row r="207" spans="1:9" x14ac:dyDescent="0.3">
      <c r="A207" t="s">
        <v>49</v>
      </c>
      <c r="B207">
        <v>45</v>
      </c>
      <c r="C207" s="21">
        <v>209.00000000000003</v>
      </c>
      <c r="D207" s="10">
        <v>110.00000000000001</v>
      </c>
      <c r="E207" s="10">
        <v>1.5</v>
      </c>
      <c r="F207" s="10">
        <v>19</v>
      </c>
      <c r="G207" s="10">
        <v>4</v>
      </c>
      <c r="H207" s="10">
        <v>1</v>
      </c>
      <c r="I207" s="10">
        <v>0.22</v>
      </c>
    </row>
    <row r="208" spans="1:9" x14ac:dyDescent="0.3">
      <c r="A208" t="s">
        <v>148</v>
      </c>
      <c r="B208">
        <v>50</v>
      </c>
      <c r="C208" s="21">
        <v>998</v>
      </c>
      <c r="D208" s="10">
        <v>80</v>
      </c>
      <c r="E208" s="10">
        <v>5</v>
      </c>
      <c r="F208" s="10">
        <v>2</v>
      </c>
      <c r="G208" s="10">
        <v>7.0000000000000009</v>
      </c>
      <c r="H208" s="10">
        <v>0</v>
      </c>
      <c r="I208" s="10">
        <v>0.5</v>
      </c>
    </row>
    <row r="209" spans="1:9" x14ac:dyDescent="0.3">
      <c r="A209" t="s">
        <v>158</v>
      </c>
      <c r="B209">
        <v>52.822758968183962</v>
      </c>
      <c r="C209" s="21">
        <v>1054.342269004952</v>
      </c>
      <c r="D209" s="10">
        <v>58.691954409093292</v>
      </c>
      <c r="E209" s="10">
        <v>1.4672988602273322</v>
      </c>
      <c r="F209" s="10">
        <v>4.4018965806819965</v>
      </c>
      <c r="G209" s="10">
        <v>7.3364943011366615</v>
      </c>
      <c r="H209" s="10">
        <v>0</v>
      </c>
      <c r="I209" s="10">
        <v>0.99776322495458591</v>
      </c>
    </row>
    <row r="210" spans="1:9" x14ac:dyDescent="0.3">
      <c r="A210" t="s">
        <v>169</v>
      </c>
      <c r="B210">
        <v>50</v>
      </c>
      <c r="C210" s="21">
        <v>848.75000000000011</v>
      </c>
      <c r="D210" s="10">
        <v>120</v>
      </c>
      <c r="E210" s="10">
        <v>10</v>
      </c>
      <c r="F210" s="10">
        <v>1</v>
      </c>
      <c r="G210" s="10">
        <v>10</v>
      </c>
      <c r="H210" s="10">
        <v>0</v>
      </c>
      <c r="I210" s="10">
        <v>0.27</v>
      </c>
    </row>
    <row r="211" spans="1:9" x14ac:dyDescent="0.3">
      <c r="B211">
        <v>847.82275896818396</v>
      </c>
      <c r="C211" s="21">
        <v>9603.758935671618</v>
      </c>
      <c r="D211" s="10">
        <v>1693.4534486619668</v>
      </c>
      <c r="E211" s="10">
        <v>63.396321848733081</v>
      </c>
      <c r="F211" s="10">
        <v>164.71942531631422</v>
      </c>
      <c r="G211" s="10">
        <v>115.0000000482631</v>
      </c>
      <c r="H211" s="10">
        <v>1</v>
      </c>
      <c r="I211" s="10">
        <v>2.5785678226557356</v>
      </c>
    </row>
    <row r="214" spans="1:9" x14ac:dyDescent="0.3">
      <c r="A214" t="s">
        <v>193</v>
      </c>
    </row>
    <row r="215" spans="1:9" x14ac:dyDescent="0.3">
      <c r="A215" t="s">
        <v>10</v>
      </c>
      <c r="B215" t="s">
        <v>1</v>
      </c>
      <c r="C215" t="s">
        <v>176</v>
      </c>
      <c r="D215" t="s">
        <v>2</v>
      </c>
      <c r="E215" t="s">
        <v>4</v>
      </c>
      <c r="F215" t="s">
        <v>3</v>
      </c>
      <c r="G215" t="s">
        <v>175</v>
      </c>
      <c r="H215" t="s">
        <v>5</v>
      </c>
      <c r="I215" t="s">
        <v>6</v>
      </c>
    </row>
    <row r="216" spans="1:9" x14ac:dyDescent="0.3">
      <c r="A216" t="s">
        <v>52</v>
      </c>
      <c r="B216">
        <v>27.009241894921598</v>
      </c>
      <c r="C216" s="21">
        <v>159.0844347610882</v>
      </c>
      <c r="D216" s="10">
        <v>9.6461578196148565</v>
      </c>
      <c r="E216" s="10">
        <v>0.11575389383537828</v>
      </c>
      <c r="F216" s="10">
        <v>1.0417850445184047</v>
      </c>
      <c r="G216" s="10">
        <v>0.65593873173381023</v>
      </c>
      <c r="H216" s="10">
        <v>0.88744651940456676</v>
      </c>
      <c r="I216" s="10">
        <v>7.7169262556918847E-2</v>
      </c>
    </row>
    <row r="217" spans="1:9" x14ac:dyDescent="0.3">
      <c r="A217" t="s">
        <v>40</v>
      </c>
      <c r="B217">
        <v>150</v>
      </c>
      <c r="C217" s="21">
        <v>538.5</v>
      </c>
      <c r="D217" s="10">
        <v>540</v>
      </c>
      <c r="E217" s="10">
        <v>0</v>
      </c>
      <c r="F217" s="10">
        <v>111</v>
      </c>
      <c r="G217" s="10">
        <v>12</v>
      </c>
      <c r="H217" s="10">
        <v>6</v>
      </c>
      <c r="I217" s="10">
        <v>0</v>
      </c>
    </row>
    <row r="218" spans="1:9" x14ac:dyDescent="0.3">
      <c r="A218" t="s">
        <v>45</v>
      </c>
      <c r="B218">
        <v>200</v>
      </c>
      <c r="C218" s="21">
        <v>1931.6666666666667</v>
      </c>
      <c r="D218" s="10">
        <v>310</v>
      </c>
      <c r="E218" s="10">
        <v>21.333333333333336</v>
      </c>
      <c r="F218" s="10">
        <v>2.333333333333333</v>
      </c>
      <c r="G218" s="10">
        <v>25</v>
      </c>
      <c r="H218" s="10">
        <v>0</v>
      </c>
      <c r="I218" s="10">
        <v>0.33333333333333337</v>
      </c>
    </row>
    <row r="219" spans="1:9" x14ac:dyDescent="0.3">
      <c r="A219" t="s">
        <v>118</v>
      </c>
      <c r="B219">
        <v>200</v>
      </c>
      <c r="C219" s="21">
        <v>3429.9999999999995</v>
      </c>
      <c r="D219" s="10">
        <v>344</v>
      </c>
      <c r="E219" s="10">
        <v>18.600000000000001</v>
      </c>
      <c r="F219" s="10">
        <v>0</v>
      </c>
      <c r="G219" s="10">
        <v>41.8</v>
      </c>
      <c r="H219" s="10">
        <v>0</v>
      </c>
      <c r="I219" s="10">
        <v>0.2</v>
      </c>
    </row>
    <row r="220" spans="1:9" x14ac:dyDescent="0.3">
      <c r="A220" t="s">
        <v>65</v>
      </c>
      <c r="B220">
        <v>100</v>
      </c>
      <c r="C220" s="21">
        <v>295</v>
      </c>
      <c r="D220" s="10">
        <v>127.01149425287358</v>
      </c>
      <c r="E220" s="10">
        <v>3.6206896551724133</v>
      </c>
      <c r="F220" s="10">
        <v>21.609195402298852</v>
      </c>
      <c r="G220" s="10">
        <v>2.9885057471264367</v>
      </c>
      <c r="H220" s="10">
        <v>0</v>
      </c>
      <c r="I220" s="10">
        <v>5.7471264367816091E-2</v>
      </c>
    </row>
    <row r="221" spans="1:9" x14ac:dyDescent="0.3">
      <c r="A221" t="s">
        <v>49</v>
      </c>
      <c r="B221">
        <v>45</v>
      </c>
      <c r="C221" s="21">
        <v>209.00000000000003</v>
      </c>
      <c r="D221" s="10">
        <v>110.00000000000001</v>
      </c>
      <c r="E221" s="10">
        <v>1.5</v>
      </c>
      <c r="F221" s="10">
        <v>19</v>
      </c>
      <c r="G221" s="10">
        <v>4</v>
      </c>
      <c r="H221" s="10">
        <v>1</v>
      </c>
      <c r="I221" s="10">
        <v>0.22</v>
      </c>
    </row>
    <row r="222" spans="1:9" x14ac:dyDescent="0.3">
      <c r="A222" t="s">
        <v>148</v>
      </c>
      <c r="B222">
        <v>50</v>
      </c>
      <c r="C222" s="21">
        <v>998</v>
      </c>
      <c r="D222" s="10">
        <v>80</v>
      </c>
      <c r="E222" s="10">
        <v>5</v>
      </c>
      <c r="F222" s="10">
        <v>2</v>
      </c>
      <c r="G222" s="10">
        <v>7.0000000000000009</v>
      </c>
      <c r="H222" s="10">
        <v>0</v>
      </c>
      <c r="I222" s="10">
        <v>0.5</v>
      </c>
    </row>
    <row r="223" spans="1:9" x14ac:dyDescent="0.3">
      <c r="A223" t="s">
        <v>55</v>
      </c>
      <c r="B223">
        <v>50</v>
      </c>
      <c r="C223" s="21">
        <v>523.68421052631572</v>
      </c>
      <c r="D223" s="10">
        <v>44.444444444444443</v>
      </c>
      <c r="E223" s="10">
        <v>0.27777777777777779</v>
      </c>
      <c r="F223" s="10">
        <v>7.5</v>
      </c>
      <c r="G223" s="10">
        <v>3.0555555555555558</v>
      </c>
      <c r="H223" s="10">
        <v>0.27777777777777779</v>
      </c>
      <c r="I223" s="10">
        <v>1.9444444444444444</v>
      </c>
    </row>
    <row r="224" spans="1:9" x14ac:dyDescent="0.3">
      <c r="A224" t="s">
        <v>69</v>
      </c>
      <c r="B224">
        <v>15</v>
      </c>
      <c r="C224" s="21">
        <v>240.6521739130435</v>
      </c>
      <c r="D224" s="10">
        <v>15</v>
      </c>
      <c r="E224" s="10">
        <v>0</v>
      </c>
      <c r="F224" s="10">
        <v>1</v>
      </c>
      <c r="G224" s="10">
        <v>1</v>
      </c>
      <c r="H224" s="10">
        <v>1</v>
      </c>
      <c r="I224" s="10">
        <v>0</v>
      </c>
    </row>
    <row r="225" spans="1:9" x14ac:dyDescent="0.3">
      <c r="A225" t="s">
        <v>158</v>
      </c>
      <c r="B225">
        <v>54</v>
      </c>
      <c r="C225" s="21">
        <v>1077.8400000000001</v>
      </c>
      <c r="D225" s="10">
        <v>60</v>
      </c>
      <c r="E225" s="10">
        <v>1.5</v>
      </c>
      <c r="F225" s="10">
        <v>4.5</v>
      </c>
      <c r="G225" s="10">
        <v>7.5</v>
      </c>
      <c r="H225" s="10">
        <v>0</v>
      </c>
      <c r="I225" s="10">
        <v>1.02</v>
      </c>
    </row>
    <row r="226" spans="1:9" x14ac:dyDescent="0.3">
      <c r="A226" t="s">
        <v>169</v>
      </c>
      <c r="B226">
        <v>50</v>
      </c>
      <c r="C226" s="21">
        <v>848.75000000000011</v>
      </c>
      <c r="D226" s="10">
        <v>120</v>
      </c>
      <c r="E226" s="10">
        <v>10</v>
      </c>
      <c r="F226" s="10">
        <v>1</v>
      </c>
      <c r="G226" s="10">
        <v>10</v>
      </c>
      <c r="H226" s="10">
        <v>0</v>
      </c>
      <c r="I226" s="10">
        <v>0.27</v>
      </c>
    </row>
    <row r="227" spans="1:9" x14ac:dyDescent="0.3">
      <c r="B227">
        <v>941.00924189492162</v>
      </c>
      <c r="C227" s="21">
        <v>10252.177485867114</v>
      </c>
      <c r="D227" s="10">
        <v>1760.1020965169328</v>
      </c>
      <c r="E227" s="10">
        <v>61.947554660118904</v>
      </c>
      <c r="F227" s="10">
        <v>170.98431378015059</v>
      </c>
      <c r="G227" s="10">
        <v>115.00000003441581</v>
      </c>
      <c r="H227" s="10">
        <v>9.1652242971823448</v>
      </c>
      <c r="I227" s="10">
        <v>4.6224183047025118</v>
      </c>
    </row>
    <row r="229" spans="1:9" x14ac:dyDescent="0.3">
      <c r="A229" t="s">
        <v>194</v>
      </c>
    </row>
    <row r="230" spans="1:9" x14ac:dyDescent="0.3">
      <c r="A230" t="s">
        <v>10</v>
      </c>
      <c r="B230" t="s">
        <v>1</v>
      </c>
      <c r="C230" t="s">
        <v>176</v>
      </c>
      <c r="D230" t="s">
        <v>2</v>
      </c>
      <c r="E230" t="s">
        <v>4</v>
      </c>
      <c r="F230" t="s">
        <v>3</v>
      </c>
      <c r="G230" t="s">
        <v>175</v>
      </c>
      <c r="H230" t="s">
        <v>5</v>
      </c>
      <c r="I230" t="s">
        <v>6</v>
      </c>
    </row>
    <row r="231" spans="1:9" x14ac:dyDescent="0.3">
      <c r="A231" t="s">
        <v>71</v>
      </c>
      <c r="B231">
        <v>36.68655582253114</v>
      </c>
      <c r="C231" s="21">
        <v>397.26299019255151</v>
      </c>
      <c r="D231" s="10">
        <v>134.51737134928084</v>
      </c>
      <c r="E231" s="10">
        <v>1.2228851940843712</v>
      </c>
      <c r="F231" s="10">
        <v>25.680589075771795</v>
      </c>
      <c r="G231" s="10">
        <v>2.4457703881687425</v>
      </c>
      <c r="H231" s="10">
        <v>3.6686555822531144</v>
      </c>
      <c r="I231" s="10">
        <v>3.6686555822531143E-2</v>
      </c>
    </row>
    <row r="232" spans="1:9" x14ac:dyDescent="0.3">
      <c r="A232" t="s">
        <v>40</v>
      </c>
      <c r="B232">
        <v>150</v>
      </c>
      <c r="C232" s="21">
        <v>538.5</v>
      </c>
      <c r="D232" s="10">
        <v>540</v>
      </c>
      <c r="E232" s="10">
        <v>0</v>
      </c>
      <c r="F232" s="10">
        <v>111</v>
      </c>
      <c r="G232" s="10">
        <v>12</v>
      </c>
      <c r="H232" s="10">
        <v>6</v>
      </c>
      <c r="I232" s="10">
        <v>0</v>
      </c>
    </row>
    <row r="233" spans="1:9" x14ac:dyDescent="0.3">
      <c r="A233" t="s">
        <v>45</v>
      </c>
      <c r="B233">
        <v>200</v>
      </c>
      <c r="C233" s="21">
        <v>1931.6666666666667</v>
      </c>
      <c r="D233" s="10">
        <v>310</v>
      </c>
      <c r="E233" s="10">
        <v>21.333333333333336</v>
      </c>
      <c r="F233" s="10">
        <v>2.333333333333333</v>
      </c>
      <c r="G233" s="10">
        <v>25</v>
      </c>
      <c r="H233" s="10">
        <v>0</v>
      </c>
      <c r="I233" s="10">
        <v>0.33333333333333337</v>
      </c>
    </row>
    <row r="234" spans="1:9" x14ac:dyDescent="0.3">
      <c r="A234" t="s">
        <v>118</v>
      </c>
      <c r="B234">
        <v>200</v>
      </c>
      <c r="C234" s="21">
        <v>3429.9999999999995</v>
      </c>
      <c r="D234" s="10">
        <v>344</v>
      </c>
      <c r="E234" s="10">
        <v>18.600000000000001</v>
      </c>
      <c r="F234" s="10">
        <v>0</v>
      </c>
      <c r="G234" s="10">
        <v>41.8</v>
      </c>
      <c r="H234" s="10">
        <v>0</v>
      </c>
      <c r="I234" s="10">
        <v>0.2</v>
      </c>
    </row>
    <row r="235" spans="1:9" x14ac:dyDescent="0.3">
      <c r="A235" t="s">
        <v>65</v>
      </c>
      <c r="B235">
        <v>100</v>
      </c>
      <c r="C235" s="21">
        <v>295</v>
      </c>
      <c r="D235" s="10">
        <v>127.01149425287358</v>
      </c>
      <c r="E235" s="10">
        <v>3.6206896551724133</v>
      </c>
      <c r="F235" s="10">
        <v>21.609195402298852</v>
      </c>
      <c r="G235" s="10">
        <v>2.9885057471264367</v>
      </c>
      <c r="H235" s="10">
        <v>0</v>
      </c>
      <c r="I235" s="10">
        <v>5.7471264367816091E-2</v>
      </c>
    </row>
    <row r="236" spans="1:9" x14ac:dyDescent="0.3">
      <c r="A236" t="s">
        <v>49</v>
      </c>
      <c r="B236">
        <v>45</v>
      </c>
      <c r="C236" s="21">
        <v>209.00000000000003</v>
      </c>
      <c r="D236" s="10">
        <v>110.00000000000001</v>
      </c>
      <c r="E236" s="10">
        <v>1.5</v>
      </c>
      <c r="F236" s="10">
        <v>19</v>
      </c>
      <c r="G236" s="10">
        <v>4</v>
      </c>
      <c r="H236" s="10">
        <v>1</v>
      </c>
      <c r="I236" s="10">
        <v>0.22</v>
      </c>
    </row>
    <row r="237" spans="1:9" x14ac:dyDescent="0.3">
      <c r="A237" t="s">
        <v>39</v>
      </c>
      <c r="B237">
        <v>200</v>
      </c>
      <c r="C237" s="21">
        <v>486.66666666666663</v>
      </c>
      <c r="D237" s="10">
        <v>116.66666666666667</v>
      </c>
      <c r="E237" s="10">
        <v>5.833333333333333</v>
      </c>
      <c r="F237" s="10">
        <v>9.1666666666666661</v>
      </c>
      <c r="G237" s="10">
        <v>6.666666666666667</v>
      </c>
      <c r="H237" s="10">
        <v>0</v>
      </c>
      <c r="I237" s="10">
        <v>0.13333333333333333</v>
      </c>
    </row>
    <row r="238" spans="1:9" x14ac:dyDescent="0.3">
      <c r="A238" t="s">
        <v>55</v>
      </c>
      <c r="B238">
        <v>42.530025875737664</v>
      </c>
      <c r="C238" s="21">
        <v>445.4460604879892</v>
      </c>
      <c r="D238" s="10">
        <v>37.804467445100144</v>
      </c>
      <c r="E238" s="10">
        <v>0.23627792153187591</v>
      </c>
      <c r="F238" s="10">
        <v>6.3795038813606491</v>
      </c>
      <c r="G238" s="10">
        <v>2.5990571368506354</v>
      </c>
      <c r="H238" s="10">
        <v>0.23627792153187591</v>
      </c>
      <c r="I238" s="10">
        <v>1.6539454507231315</v>
      </c>
    </row>
    <row r="239" spans="1:9" x14ac:dyDescent="0.3">
      <c r="A239" t="s">
        <v>158</v>
      </c>
      <c r="B239">
        <v>54</v>
      </c>
      <c r="C239" s="21">
        <v>1077.8400000000001</v>
      </c>
      <c r="D239" s="10">
        <v>60</v>
      </c>
      <c r="E239" s="10">
        <v>1.5</v>
      </c>
      <c r="F239" s="10">
        <v>4.5</v>
      </c>
      <c r="G239" s="10">
        <v>7.5</v>
      </c>
      <c r="H239" s="10">
        <v>0</v>
      </c>
      <c r="I239" s="10">
        <v>1.02</v>
      </c>
    </row>
    <row r="240" spans="1:9" x14ac:dyDescent="0.3">
      <c r="A240" t="s">
        <v>169</v>
      </c>
      <c r="B240">
        <v>50</v>
      </c>
      <c r="C240" s="21">
        <v>848.75000000000011</v>
      </c>
      <c r="D240" s="10">
        <v>120</v>
      </c>
      <c r="E240" s="10">
        <v>10</v>
      </c>
      <c r="F240" s="10">
        <v>1</v>
      </c>
      <c r="G240" s="10">
        <v>10</v>
      </c>
      <c r="H240" s="10">
        <v>0</v>
      </c>
      <c r="I240" s="10">
        <v>0.27</v>
      </c>
    </row>
    <row r="241" spans="1:9" x14ac:dyDescent="0.3">
      <c r="B241">
        <v>1078.2165816982688</v>
      </c>
      <c r="C241" s="21">
        <v>9660.1323840138757</v>
      </c>
      <c r="D241" s="10">
        <v>1899.9999997139212</v>
      </c>
      <c r="E241" s="10">
        <v>63.846519437455328</v>
      </c>
      <c r="F241" s="10">
        <v>200.66928835943128</v>
      </c>
      <c r="G241" s="10">
        <v>114.99999993881248</v>
      </c>
      <c r="H241" s="10">
        <v>10.90493350378499</v>
      </c>
      <c r="I241" s="10">
        <v>3.9247699375801455</v>
      </c>
    </row>
    <row r="244" spans="1:9" x14ac:dyDescent="0.3">
      <c r="A244" t="s">
        <v>195</v>
      </c>
    </row>
    <row r="245" spans="1:9" x14ac:dyDescent="0.3">
      <c r="A245" t="s">
        <v>10</v>
      </c>
      <c r="B245" t="s">
        <v>1</v>
      </c>
      <c r="C245" t="s">
        <v>176</v>
      </c>
      <c r="D245" t="s">
        <v>2</v>
      </c>
      <c r="E245" t="s">
        <v>4</v>
      </c>
      <c r="F245" t="s">
        <v>3</v>
      </c>
      <c r="G245" t="s">
        <v>175</v>
      </c>
      <c r="H245" t="s">
        <v>5</v>
      </c>
      <c r="I245" t="s">
        <v>6</v>
      </c>
    </row>
    <row r="246" spans="1:9" x14ac:dyDescent="0.3">
      <c r="A246" t="s">
        <v>71</v>
      </c>
      <c r="B246">
        <v>36.556034519320377</v>
      </c>
      <c r="C246" s="21">
        <v>395.84963093778356</v>
      </c>
      <c r="D246" s="10">
        <v>134.03879323750803</v>
      </c>
      <c r="E246" s="10">
        <v>1.218534483977346</v>
      </c>
      <c r="F246" s="10">
        <v>25.589224163524264</v>
      </c>
      <c r="G246" s="10">
        <v>2.437068967954692</v>
      </c>
      <c r="H246" s="10">
        <v>3.6556034519320377</v>
      </c>
      <c r="I246" s="10">
        <v>3.655603451932038E-2</v>
      </c>
    </row>
    <row r="247" spans="1:9" x14ac:dyDescent="0.3">
      <c r="A247" t="s">
        <v>40</v>
      </c>
      <c r="B247">
        <v>150</v>
      </c>
      <c r="C247" s="21">
        <v>538.5</v>
      </c>
      <c r="D247" s="10">
        <v>540</v>
      </c>
      <c r="E247" s="10">
        <v>0</v>
      </c>
      <c r="F247" s="10">
        <v>111</v>
      </c>
      <c r="G247" s="10">
        <v>12</v>
      </c>
      <c r="H247" s="10">
        <v>6</v>
      </c>
      <c r="I247" s="10">
        <v>0</v>
      </c>
    </row>
    <row r="248" spans="1:9" x14ac:dyDescent="0.3">
      <c r="A248" t="s">
        <v>45</v>
      </c>
      <c r="B248">
        <v>200</v>
      </c>
      <c r="C248" s="21">
        <v>1931.6666666666667</v>
      </c>
      <c r="D248" s="10">
        <v>310</v>
      </c>
      <c r="E248" s="10">
        <v>21.333333333333336</v>
      </c>
      <c r="F248" s="10">
        <v>2.333333333333333</v>
      </c>
      <c r="G248" s="10">
        <v>25</v>
      </c>
      <c r="H248" s="10">
        <v>0</v>
      </c>
      <c r="I248" s="10">
        <v>0.33333333333333337</v>
      </c>
    </row>
    <row r="249" spans="1:9" x14ac:dyDescent="0.3">
      <c r="A249" t="s">
        <v>118</v>
      </c>
      <c r="B249">
        <v>200</v>
      </c>
      <c r="C249" s="21">
        <v>3429.9999999999995</v>
      </c>
      <c r="D249" s="10">
        <v>344</v>
      </c>
      <c r="E249" s="10">
        <v>18.600000000000001</v>
      </c>
      <c r="F249" s="10">
        <v>0</v>
      </c>
      <c r="G249" s="10">
        <v>41.8</v>
      </c>
      <c r="H249" s="10">
        <v>0</v>
      </c>
      <c r="I249" s="10">
        <v>0.2</v>
      </c>
    </row>
    <row r="250" spans="1:9" x14ac:dyDescent="0.3">
      <c r="A250" t="s">
        <v>65</v>
      </c>
      <c r="B250">
        <v>100</v>
      </c>
      <c r="C250" s="21">
        <v>295</v>
      </c>
      <c r="D250" s="10">
        <v>127.01149425287358</v>
      </c>
      <c r="E250" s="10">
        <v>3.6206896551724133</v>
      </c>
      <c r="F250" s="10">
        <v>21.609195402298852</v>
      </c>
      <c r="G250" s="10">
        <v>2.9885057471264367</v>
      </c>
      <c r="H250" s="10">
        <v>0</v>
      </c>
      <c r="I250" s="10">
        <v>5.7471264367816091E-2</v>
      </c>
    </row>
    <row r="251" spans="1:9" x14ac:dyDescent="0.3">
      <c r="A251" t="s">
        <v>49</v>
      </c>
      <c r="B251">
        <v>45</v>
      </c>
      <c r="C251" s="21">
        <v>209.00000000000003</v>
      </c>
      <c r="D251" s="10">
        <v>110.00000000000001</v>
      </c>
      <c r="E251" s="10">
        <v>1.5</v>
      </c>
      <c r="F251" s="10">
        <v>19</v>
      </c>
      <c r="G251" s="10">
        <v>4</v>
      </c>
      <c r="H251" s="10">
        <v>1</v>
      </c>
      <c r="I251" s="10">
        <v>0.22</v>
      </c>
    </row>
    <row r="252" spans="1:9" x14ac:dyDescent="0.3">
      <c r="A252" t="s">
        <v>39</v>
      </c>
      <c r="B252">
        <v>200</v>
      </c>
      <c r="C252" s="21">
        <v>486.66666666666663</v>
      </c>
      <c r="D252" s="10">
        <v>116.66666666666667</v>
      </c>
      <c r="E252" s="10">
        <v>5.833333333333333</v>
      </c>
      <c r="F252" s="10">
        <v>9.1666666666666661</v>
      </c>
      <c r="G252" s="10">
        <v>6.666666666666667</v>
      </c>
      <c r="H252" s="10">
        <v>0</v>
      </c>
      <c r="I252" s="10">
        <v>0.13333333333333333</v>
      </c>
    </row>
    <row r="253" spans="1:9" x14ac:dyDescent="0.3">
      <c r="A253" t="s">
        <v>55</v>
      </c>
      <c r="B253">
        <v>30.000000000000004</v>
      </c>
      <c r="C253" s="21">
        <v>314.21052631578948</v>
      </c>
      <c r="D253" s="10">
        <v>26.666666666666668</v>
      </c>
      <c r="E253" s="10">
        <v>0.16666666666666669</v>
      </c>
      <c r="F253" s="10">
        <v>4.5</v>
      </c>
      <c r="G253" s="10">
        <v>1.8333333333333337</v>
      </c>
      <c r="H253" s="10">
        <v>0.16666666666666669</v>
      </c>
      <c r="I253" s="10">
        <v>1.1666666666666667</v>
      </c>
    </row>
    <row r="254" spans="1:9" x14ac:dyDescent="0.3">
      <c r="A254" t="s">
        <v>69</v>
      </c>
      <c r="B254">
        <v>11.616379475093609</v>
      </c>
      <c r="C254" s="21">
        <v>186.36713157867575</v>
      </c>
      <c r="D254" s="10">
        <v>11.616379475093609</v>
      </c>
      <c r="E254" s="10">
        <v>0</v>
      </c>
      <c r="F254" s="10">
        <v>0.77442529833957396</v>
      </c>
      <c r="G254" s="10">
        <v>0.77442529833957396</v>
      </c>
      <c r="H254" s="10">
        <v>0.77442529833957396</v>
      </c>
      <c r="I254" s="10">
        <v>0</v>
      </c>
    </row>
    <row r="255" spans="1:9" x14ac:dyDescent="0.3">
      <c r="A255" t="s">
        <v>158</v>
      </c>
      <c r="B255">
        <v>54</v>
      </c>
      <c r="C255" s="21">
        <v>1077.8400000000001</v>
      </c>
      <c r="D255" s="10">
        <v>60</v>
      </c>
      <c r="E255" s="10">
        <v>1.5</v>
      </c>
      <c r="F255" s="10">
        <v>4.5</v>
      </c>
      <c r="G255" s="10">
        <v>7.5</v>
      </c>
      <c r="H255" s="10">
        <v>0</v>
      </c>
      <c r="I255" s="10">
        <v>1.02</v>
      </c>
    </row>
    <row r="256" spans="1:9" x14ac:dyDescent="0.3">
      <c r="A256" t="s">
        <v>169</v>
      </c>
      <c r="B256">
        <v>50</v>
      </c>
      <c r="C256" s="21">
        <v>848.75000000000011</v>
      </c>
      <c r="D256" s="10">
        <v>120</v>
      </c>
      <c r="E256" s="10">
        <v>10</v>
      </c>
      <c r="F256" s="10">
        <v>1</v>
      </c>
      <c r="G256" s="10">
        <v>10</v>
      </c>
      <c r="H256" s="10">
        <v>0</v>
      </c>
      <c r="I256" s="10">
        <v>0.27</v>
      </c>
    </row>
    <row r="257" spans="1:9" x14ac:dyDescent="0.3">
      <c r="B257">
        <v>1077.172413994414</v>
      </c>
      <c r="C257" s="21">
        <v>9713.8506221655825</v>
      </c>
      <c r="D257" s="10">
        <v>1900.0000002988086</v>
      </c>
      <c r="E257" s="10">
        <v>63.772557472483101</v>
      </c>
      <c r="F257" s="10">
        <v>199.47284486416268</v>
      </c>
      <c r="G257" s="10">
        <v>115.0000000134207</v>
      </c>
      <c r="H257" s="10">
        <v>11.596695416938278</v>
      </c>
      <c r="I257" s="10">
        <v>3.4373606322204697</v>
      </c>
    </row>
    <row r="260" spans="1:9" x14ac:dyDescent="0.3">
      <c r="A260" s="23"/>
      <c r="B260" s="23"/>
      <c r="C260" s="23"/>
      <c r="D260" s="23"/>
      <c r="E260" s="23"/>
      <c r="F260" s="23"/>
      <c r="G260" s="23"/>
      <c r="H260" s="23"/>
      <c r="I260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Macro</vt:lpstr>
      <vt:lpstr>Seguimientos Comidas Sergio</vt:lpstr>
      <vt:lpstr>Comidas individuales</vt:lpstr>
      <vt:lpstr>Precio por alimento</vt:lpstr>
      <vt:lpstr>Menú</vt:lpstr>
      <vt:lpstr>Tabla Dinámica</vt:lpstr>
      <vt:lpstr>Optimizar</vt:lpstr>
      <vt:lpstr>Plan Comidas</vt:lpstr>
      <vt:lpstr>Recetas</vt:lpstr>
      <vt:lpstr>Posibles comidas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XELLO</dc:creator>
  <cp:lastModifiedBy>XELLO</cp:lastModifiedBy>
  <dcterms:created xsi:type="dcterms:W3CDTF">2020-06-06T19:20:29Z</dcterms:created>
  <dcterms:modified xsi:type="dcterms:W3CDTF">2022-03-29T16:56:59Z</dcterms:modified>
</cp:coreProperties>
</file>